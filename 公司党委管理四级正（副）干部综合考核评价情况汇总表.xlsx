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778"/>
  </bookViews>
  <sheets>
    <sheet name="结果汇总表" sheetId="28" r:id="rId1"/>
    <sheet name="2025年度" sheetId="27" r:id="rId2"/>
    <sheet name="单位排序" sheetId="9" r:id="rId3"/>
  </sheets>
  <definedNames>
    <definedName name="_xlnm._FilterDatabase" localSheetId="1" hidden="1">'2025年度'!$2:$397</definedName>
    <definedName name="_xlnm.Print_Area" localSheetId="2">单位排序!$A$1:$E$60</definedName>
    <definedName name="_xlnm.Print_Titles" localSheetId="1">'2025年度'!$1:2</definedName>
    <definedName name="_xlnm.Print_Area" localSheetId="1">'2025年度'!$A$1:$F$397</definedName>
  </definedNames>
  <calcPr calcId="144525" concurrentCalc="0"/>
</workbook>
</file>

<file path=xl/sharedStrings.xml><?xml version="1.0" encoding="utf-8"?>
<sst xmlns="http://schemas.openxmlformats.org/spreadsheetml/2006/main" count="689" uniqueCount="152">
  <si>
    <t>公司党委管理四级正（副）干部综合考核评价情况汇总表</t>
  </si>
  <si>
    <t>序号</t>
  </si>
  <si>
    <t>部门（单位）</t>
  </si>
  <si>
    <t>部门经营业绩等级/
领导班子评价结果</t>
  </si>
  <si>
    <t>制度要求</t>
  </si>
  <si>
    <t>实际评优情况</t>
  </si>
  <si>
    <t>领导人员名单</t>
  </si>
  <si>
    <r>
      <rPr>
        <b/>
        <sz val="14"/>
        <rFont val="宋体"/>
        <charset val="134"/>
        <scheme val="minor"/>
      </rPr>
      <t xml:space="preserve">考核基数
</t>
    </r>
    <r>
      <rPr>
        <b/>
        <sz val="10"/>
        <rFont val="宋体"/>
        <charset val="134"/>
        <scheme val="minor"/>
      </rPr>
      <t>（不含外派干部）</t>
    </r>
  </si>
  <si>
    <r>
      <rPr>
        <b/>
        <sz val="14"/>
        <rFont val="宋体"/>
        <charset val="134"/>
        <scheme val="minor"/>
      </rPr>
      <t>外派干部</t>
    </r>
    <r>
      <rPr>
        <b/>
        <sz val="10"/>
        <rFont val="宋体"/>
        <charset val="134"/>
        <scheme val="minor"/>
      </rPr>
      <t>(不占名额)</t>
    </r>
  </si>
  <si>
    <t>评优名额</t>
  </si>
  <si>
    <t>评优人数</t>
  </si>
  <si>
    <r>
      <rPr>
        <b/>
        <sz val="14"/>
        <rFont val="宋体"/>
        <charset val="134"/>
        <scheme val="minor"/>
      </rPr>
      <t xml:space="preserve">评优比例
</t>
    </r>
    <r>
      <rPr>
        <b/>
        <sz val="11"/>
        <rFont val="宋体"/>
        <charset val="134"/>
        <scheme val="minor"/>
      </rPr>
      <t>（不含外派干部）</t>
    </r>
  </si>
  <si>
    <t>干部1</t>
  </si>
  <si>
    <t>干部2</t>
  </si>
  <si>
    <t>干部3</t>
  </si>
  <si>
    <t>干部4</t>
  </si>
  <si>
    <t>干部5</t>
  </si>
  <si>
    <t>干部6</t>
  </si>
  <si>
    <t>干部7</t>
  </si>
  <si>
    <t>干部8</t>
  </si>
  <si>
    <t>干部9</t>
  </si>
  <si>
    <t>干部10</t>
  </si>
  <si>
    <t>干部11</t>
  </si>
  <si>
    <t>干部12</t>
  </si>
  <si>
    <t>干部13</t>
  </si>
  <si>
    <t>干部14</t>
  </si>
  <si>
    <t>干部15</t>
  </si>
  <si>
    <t>干部16</t>
  </si>
  <si>
    <t>干部17</t>
  </si>
  <si>
    <t>干部18</t>
  </si>
  <si>
    <t>干部19</t>
  </si>
  <si>
    <t>干部20</t>
  </si>
  <si>
    <t>干部21</t>
  </si>
  <si>
    <t>干部22</t>
  </si>
  <si>
    <t>干部23</t>
  </si>
  <si>
    <t>干部24</t>
  </si>
  <si>
    <t>干部25</t>
  </si>
  <si>
    <t>干部26</t>
  </si>
  <si>
    <t>综合型部门</t>
  </si>
  <si>
    <t>人力资源部</t>
  </si>
  <si>
    <t>A</t>
  </si>
  <si>
    <t>企业发展部</t>
  </si>
  <si>
    <t>B</t>
  </si>
  <si>
    <t>办公室</t>
  </si>
  <si>
    <t>工会工作部</t>
  </si>
  <si>
    <t>党建工作部</t>
  </si>
  <si>
    <t>专业型部门</t>
  </si>
  <si>
    <t>市场及客户服务部</t>
  </si>
  <si>
    <t>配网管理部</t>
  </si>
  <si>
    <t>基建部</t>
  </si>
  <si>
    <t>资产管理部</t>
  </si>
  <si>
    <t>支撑型部门</t>
  </si>
  <si>
    <t>财务部</t>
  </si>
  <si>
    <t>创新与数字化部</t>
  </si>
  <si>
    <t>新兴产业部</t>
  </si>
  <si>
    <t>法规部</t>
  </si>
  <si>
    <t>监督型部门</t>
  </si>
  <si>
    <t>监督部</t>
  </si>
  <si>
    <t>十五运保电办</t>
  </si>
  <si>
    <t>/</t>
  </si>
  <si>
    <t>公司党委巡察工作领导小组办公室</t>
  </si>
  <si>
    <t>安全监管部</t>
  </si>
  <si>
    <t>审计部</t>
  </si>
  <si>
    <t>直属供电局</t>
  </si>
  <si>
    <t>龙岗供电局</t>
  </si>
  <si>
    <t>优秀</t>
  </si>
  <si>
    <t>宝安供电局</t>
  </si>
  <si>
    <t>良好</t>
  </si>
  <si>
    <t>福田供电局</t>
  </si>
  <si>
    <t>坪山供电局</t>
  </si>
  <si>
    <t>罗湖供电局</t>
  </si>
  <si>
    <t>龙华供电局</t>
  </si>
  <si>
    <t>南山供电局</t>
  </si>
  <si>
    <t>陈远良</t>
  </si>
  <si>
    <t>光明供电局</t>
  </si>
  <si>
    <t>大鹏供电局</t>
  </si>
  <si>
    <t>深汕特别合作区供电局</t>
  </si>
  <si>
    <t>盐田供电局</t>
  </si>
  <si>
    <t>其他直属单位——生产调度运维组</t>
  </si>
  <si>
    <t>变电管理二所</t>
  </si>
  <si>
    <t>输电管理所</t>
  </si>
  <si>
    <t>电力调度控制中心</t>
  </si>
  <si>
    <t>巩俊强</t>
  </si>
  <si>
    <t>变电管理一所</t>
  </si>
  <si>
    <t>通信管理所</t>
  </si>
  <si>
    <t>其他直属单位——生产服务支撑组</t>
  </si>
  <si>
    <t>供应链服务中心</t>
  </si>
  <si>
    <t>电力科学研究院</t>
  </si>
  <si>
    <t>电网规划研究中心</t>
  </si>
  <si>
    <t>建设分公司</t>
  </si>
  <si>
    <t>其他直属单位——营销服务支撑组</t>
  </si>
  <si>
    <t>电力行政执法协助中心</t>
  </si>
  <si>
    <t>客户服务中心</t>
  </si>
  <si>
    <t>服务稽查中心</t>
  </si>
  <si>
    <t>计量管理所</t>
  </si>
  <si>
    <t>新闻中心</t>
  </si>
  <si>
    <t>财务共享中心</t>
  </si>
  <si>
    <t>综合服务中心</t>
  </si>
  <si>
    <t>数字化与人工智能中心</t>
  </si>
  <si>
    <t>公司党校（人才发展中心）</t>
  </si>
  <si>
    <t>参控股公司</t>
  </si>
  <si>
    <t>深圳市华睿欣能投资控股有限公司</t>
  </si>
  <si>
    <t>深圳前海蛇口自贸区供电有限公司</t>
  </si>
  <si>
    <t>深圳电网智慧能源技术有限公司</t>
  </si>
  <si>
    <t>深圳市领康达服务有限公司</t>
  </si>
  <si>
    <t>深圳南方电网深港科技创新有限公司</t>
  </si>
  <si>
    <t>深圳低碳城供电有限公司</t>
  </si>
  <si>
    <t>深圳市电力行业协会</t>
  </si>
  <si>
    <t>经营业绩A部门
整体评优比例</t>
  </si>
  <si>
    <t>经营业绩B部门
整体评优比例</t>
  </si>
  <si>
    <t>优秀班子
整体评优比例</t>
  </si>
  <si>
    <t>良好班子
整体评优比例</t>
  </si>
  <si>
    <t>部门名称</t>
  </si>
  <si>
    <t>姓名</t>
  </si>
  <si>
    <t>职　　　务</t>
  </si>
  <si>
    <t>现职级</t>
  </si>
  <si>
    <t>外派</t>
  </si>
  <si>
    <t>四级正</t>
  </si>
  <si>
    <t>四级副</t>
  </si>
  <si>
    <t>人力资源部（含专职董事监事办公室、社保（年金）中心）</t>
  </si>
  <si>
    <t>财务部、财务共享中心</t>
  </si>
  <si>
    <t>企业发展部（含运营监控中心）</t>
  </si>
  <si>
    <t>基建部（含小基与迁改项目管理中心）</t>
  </si>
  <si>
    <t xml:space="preserve"> 深圳南方电网深港科技创新有限公司</t>
  </si>
  <si>
    <t>安全监管部（含安全督查大队）</t>
  </si>
  <si>
    <t>监督部+监督执纪中心</t>
  </si>
  <si>
    <t>借用</t>
  </si>
  <si>
    <t>党委巡察工作领导小组办公室（含巡察组）</t>
  </si>
  <si>
    <t>两次网公司巡视</t>
  </si>
  <si>
    <t>公司党校</t>
  </si>
  <si>
    <t>深汕供电局</t>
  </si>
  <si>
    <t xml:space="preserve"> 深圳低碳城供电有限公司</t>
  </si>
  <si>
    <t>部门/单位</t>
  </si>
  <si>
    <t>总师副总师</t>
  </si>
  <si>
    <t>社保（年金）中心</t>
  </si>
  <si>
    <t>专家委员会</t>
  </si>
  <si>
    <t>专职董监事办公室</t>
  </si>
  <si>
    <t>运营监控中心</t>
  </si>
  <si>
    <t>小基与迁改项目管理中心</t>
  </si>
  <si>
    <t>安全督查大队</t>
  </si>
  <si>
    <t>公司党委巡察组</t>
  </si>
  <si>
    <t>监督执纪中心</t>
  </si>
  <si>
    <t>外派干部 - 深圳电网智慧能源技术有限公司</t>
  </si>
  <si>
    <t>外派干部 - 深圳市华睿丰盛投资合伙企业（有限合伙）</t>
  </si>
  <si>
    <t>外派干部 - 深圳市领康达服务有限公司</t>
  </si>
  <si>
    <t>外派干部 - 深圳低碳城供电有限公司</t>
  </si>
  <si>
    <t>外派干部 - 深圳南方电网深港科技创新有限公司</t>
  </si>
  <si>
    <t>外派干部 - 深圳电网能源科技有限公司</t>
  </si>
  <si>
    <t>外派干部 - 深圳前海蛇口自贸区供电有限公司</t>
  </si>
  <si>
    <t>外派干部 - 深圳市电力行业协会</t>
  </si>
  <si>
    <t>外派干部 - 南方电网电动汽车服务有限公司</t>
  </si>
  <si>
    <t>外派干部 - 深圳市华睿欣能投资控股有限公司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</si>
</sst>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46"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</font>
    <font>
      <sz val="12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9"/>
      <color theme="1"/>
      <name val="宋体"/>
      <charset val="134"/>
    </font>
    <font>
      <sz val="10"/>
      <color theme="1"/>
      <name val="Helv"/>
      <charset val="134"/>
    </font>
    <font>
      <b/>
      <sz val="18"/>
      <color theme="1"/>
      <name val="宋体"/>
      <charset val="134"/>
    </font>
    <font>
      <b/>
      <sz val="9"/>
      <color theme="1"/>
      <name val="宋体"/>
      <charset val="134"/>
    </font>
    <font>
      <sz val="9"/>
      <color theme="1"/>
      <name val="Helv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4"/>
      <name val="方正小标宋_GBK"/>
      <charset val="134"/>
    </font>
    <font>
      <b/>
      <sz val="14"/>
      <name val="宋体"/>
      <charset val="134"/>
      <scheme val="minor"/>
    </font>
    <font>
      <b/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name val="宋体"/>
      <charset val="134"/>
      <scheme val="minor"/>
    </font>
    <font>
      <sz val="16"/>
      <name val="宋体"/>
      <charset val="134"/>
    </font>
    <font>
      <sz val="12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0"/>
      <name val="Helv"/>
      <charset val="134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sz val="10"/>
      <name val="Arial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  <font>
      <sz val="10"/>
      <name val="Helv"/>
      <charset val="0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7">
    <xf numFmtId="0" fontId="0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8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6" borderId="9" applyNumberFormat="0" applyFont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9" borderId="8" applyNumberFormat="0" applyAlignment="0" applyProtection="0">
      <alignment vertical="center"/>
    </xf>
    <xf numFmtId="0" fontId="39" fillId="10" borderId="13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3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3" fillId="0" borderId="0"/>
  </cellStyleXfs>
  <cellXfs count="82">
    <xf numFmtId="0" fontId="0" fillId="0" borderId="0" xfId="0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0" xfId="43" applyFont="1" applyFill="1" applyAlignment="1"/>
    <xf numFmtId="0" fontId="6" fillId="0" borderId="0" xfId="43" applyFont="1" applyFill="1" applyAlignment="1"/>
    <xf numFmtId="0" fontId="7" fillId="0" borderId="0" xfId="43" applyFont="1" applyFill="1" applyAlignment="1"/>
    <xf numFmtId="0" fontId="5" fillId="0" borderId="0" xfId="0" applyFont="1" applyFill="1" applyAlignment="1"/>
    <xf numFmtId="0" fontId="8" fillId="0" borderId="0" xfId="43" applyFont="1" applyFill="1" applyAlignment="1"/>
    <xf numFmtId="0" fontId="9" fillId="0" borderId="0" xfId="43" applyFont="1" applyFill="1" applyAlignment="1"/>
    <xf numFmtId="0" fontId="5" fillId="2" borderId="0" xfId="43" applyFont="1" applyFill="1" applyAlignment="1"/>
    <xf numFmtId="0" fontId="5" fillId="0" borderId="0" xfId="43" applyFont="1" applyFill="1" applyAlignment="1">
      <alignment horizontal="center" vertical="center" wrapText="1"/>
    </xf>
    <xf numFmtId="0" fontId="8" fillId="0" borderId="1" xfId="43" applyFont="1" applyFill="1" applyBorder="1" applyAlignment="1">
      <alignment horizontal="center" vertical="center" wrapText="1"/>
    </xf>
    <xf numFmtId="0" fontId="8" fillId="0" borderId="0" xfId="43" applyFont="1" applyFill="1" applyAlignment="1">
      <alignment horizontal="left" vertical="center" wrapText="1"/>
    </xf>
    <xf numFmtId="0" fontId="10" fillId="0" borderId="0" xfId="43" applyFont="1" applyFill="1" applyAlignment="1">
      <alignment horizontal="center" vertical="center" wrapText="1"/>
    </xf>
    <xf numFmtId="0" fontId="11" fillId="0" borderId="0" xfId="43" applyFont="1" applyFill="1" applyBorder="1" applyAlignment="1">
      <alignment horizontal="center" vertical="center" wrapText="1"/>
    </xf>
    <xf numFmtId="0" fontId="10" fillId="0" borderId="0" xfId="43" applyFont="1" applyFill="1" applyAlignment="1">
      <alignment horizontal="left" vertical="center" wrapText="1"/>
    </xf>
    <xf numFmtId="0" fontId="11" fillId="0" borderId="2" xfId="43" applyFont="1" applyFill="1" applyBorder="1" applyAlignment="1">
      <alignment horizontal="center" vertical="center" wrapText="1"/>
    </xf>
    <xf numFmtId="1" fontId="11" fillId="0" borderId="1" xfId="43" applyNumberFormat="1" applyFont="1" applyFill="1" applyBorder="1" applyAlignment="1">
      <alignment horizontal="center" vertical="center" wrapText="1"/>
    </xf>
    <xf numFmtId="1" fontId="11" fillId="0" borderId="2" xfId="43" applyNumberFormat="1" applyFont="1" applyFill="1" applyBorder="1" applyAlignment="1">
      <alignment horizontal="center" vertical="center" wrapText="1"/>
    </xf>
    <xf numFmtId="0" fontId="11" fillId="0" borderId="2" xfId="43" applyNumberFormat="1" applyFont="1" applyFill="1" applyBorder="1" applyAlignment="1">
      <alignment horizontal="center" vertical="center" wrapText="1"/>
    </xf>
    <xf numFmtId="0" fontId="11" fillId="0" borderId="0" xfId="43" applyFont="1" applyFill="1" applyAlignment="1"/>
    <xf numFmtId="0" fontId="8" fillId="0" borderId="1" xfId="0" applyFont="1" applyFill="1" applyBorder="1" applyAlignment="1">
      <alignment horizontal="center" vertical="center" wrapText="1"/>
    </xf>
    <xf numFmtId="0" fontId="8" fillId="0" borderId="1" xfId="55" applyFont="1" applyFill="1" applyBorder="1" applyAlignment="1">
      <alignment horizontal="center" vertical="center"/>
    </xf>
    <xf numFmtId="0" fontId="8" fillId="0" borderId="1" xfId="43" applyFont="1" applyFill="1" applyBorder="1" applyAlignment="1">
      <alignment horizontal="left" vertical="center" wrapText="1"/>
    </xf>
    <xf numFmtId="0" fontId="8" fillId="0" borderId="1" xfId="43" applyFont="1" applyFill="1" applyBorder="1" applyAlignment="1">
      <alignment horizontal="center" vertical="center"/>
    </xf>
    <xf numFmtId="49" fontId="8" fillId="0" borderId="1" xfId="43" applyNumberFormat="1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1" xfId="19" applyFont="1" applyFill="1" applyBorder="1" applyAlignment="1">
      <alignment horizontal="center" vertical="center" wrapText="1"/>
    </xf>
    <xf numFmtId="0" fontId="8" fillId="0" borderId="1" xfId="19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2" fillId="0" borderId="0" xfId="43" applyFont="1" applyFill="1" applyAlignment="1"/>
    <xf numFmtId="0" fontId="8" fillId="0" borderId="1" xfId="55" applyFont="1" applyFill="1" applyBorder="1" applyAlignment="1">
      <alignment horizontal="left" vertical="center" wrapText="1"/>
    </xf>
    <xf numFmtId="0" fontId="8" fillId="2" borderId="0" xfId="43" applyFont="1" applyFill="1" applyAlignment="1"/>
    <xf numFmtId="0" fontId="8" fillId="0" borderId="1" xfId="54" applyFont="1" applyFill="1" applyBorder="1" applyAlignment="1">
      <alignment horizontal="center" vertical="center" wrapText="1"/>
    </xf>
    <xf numFmtId="0" fontId="8" fillId="0" borderId="1" xfId="54" applyFont="1" applyFill="1" applyBorder="1" applyAlignment="1">
      <alignment horizontal="left" vertical="center" wrapText="1"/>
    </xf>
    <xf numFmtId="49" fontId="8" fillId="0" borderId="1" xfId="43" applyNumberFormat="1" applyFont="1" applyFill="1" applyBorder="1" applyAlignment="1">
      <alignment horizontal="left" vertical="center" wrapText="1"/>
    </xf>
    <xf numFmtId="0" fontId="8" fillId="0" borderId="0" xfId="43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5" fillId="0" borderId="0" xfId="0" applyFont="1" applyFill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9" fontId="16" fillId="0" borderId="1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10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10" fontId="19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6" fontId="16" fillId="0" borderId="4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/>
    </xf>
    <xf numFmtId="0" fontId="20" fillId="0" borderId="1" xfId="43" applyFont="1" applyFill="1" applyBorder="1" applyAlignment="1">
      <alignment horizontal="center" vertical="center" wrapText="1"/>
    </xf>
    <xf numFmtId="0" fontId="0" fillId="0" borderId="1" xfId="0" applyBorder="1" applyAlignment="1"/>
    <xf numFmtId="0" fontId="14" fillId="0" borderId="1" xfId="0" applyFont="1" applyFill="1" applyBorder="1" applyAlignment="1">
      <alignment vertical="center"/>
    </xf>
    <xf numFmtId="10" fontId="14" fillId="0" borderId="1" xfId="0" applyNumberFormat="1" applyFont="1" applyFill="1" applyBorder="1" applyAlignment="1">
      <alignment vertical="center"/>
    </xf>
    <xf numFmtId="0" fontId="21" fillId="0" borderId="4" xfId="0" applyFont="1" applyFill="1" applyBorder="1" applyAlignment="1">
      <alignment horizontal="center" vertical="center" wrapText="1"/>
    </xf>
    <xf numFmtId="10" fontId="14" fillId="0" borderId="4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10" fontId="14" fillId="0" borderId="1" xfId="0" applyNumberFormat="1" applyFont="1" applyFill="1" applyBorder="1" applyAlignment="1">
      <alignment horizontal="center" vertical="center"/>
    </xf>
    <xf numFmtId="10" fontId="19" fillId="0" borderId="0" xfId="0" applyNumberFormat="1" applyFont="1" applyFill="1" applyBorder="1" applyAlignment="1">
      <alignment horizontal="center" vertical="center" wrapText="1"/>
    </xf>
    <xf numFmtId="10" fontId="14" fillId="0" borderId="0" xfId="0" applyNumberFormat="1" applyFont="1" applyFill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0" fillId="0" borderId="1" xfId="0" applyBorder="1" applyAlignment="1"/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_党组管理干部名单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3 2 2" xfId="19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_党组管理干部、总部处级名单人数（2011.3.31版）" xfId="25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2" xfId="53"/>
    <cellStyle name="常规 3 2 3" xfId="54"/>
    <cellStyle name="常规_Sheet1" xfId="55"/>
    <cellStyle name="常规_南网版总名册(2010.05)" xfId="56"/>
  </cellStyles>
  <dxfs count="2">
    <dxf>
      <fill>
        <patternFill patternType="solid">
          <bgColor theme="4" tint="0.8"/>
        </patternFill>
      </fill>
    </dxf>
    <dxf>
      <font>
        <color rgb="FF000000"/>
      </font>
      <fill>
        <patternFill patternType="solid">
          <bgColor theme="4" tint="0.8"/>
        </patternFill>
      </fill>
    </dxf>
  </dxfs>
  <tableStyles count="0" defaultTableStyle="TableStyleMedium2" defaultPivotStyle="PivotStyleLight16"/>
  <colors>
    <mruColors>
      <color rgb="00EBF1DE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7"/>
  <sheetViews>
    <sheetView tabSelected="1" zoomScale="70" zoomScaleNormal="70" workbookViewId="0">
      <pane ySplit="4" topLeftCell="A47" activePane="bottomLeft" state="frozen"/>
      <selection/>
      <selection pane="bottomLeft" activeCell="C67" sqref="C67:AH68"/>
    </sheetView>
  </sheetViews>
  <sheetFormatPr defaultColWidth="9" defaultRowHeight="14.25"/>
  <cols>
    <col min="1" max="1" width="9" style="47"/>
    <col min="2" max="2" width="35.275" style="48" customWidth="1"/>
    <col min="3" max="3" width="23.7416666666667" style="49" customWidth="1"/>
    <col min="4" max="4" width="15.35" style="49" customWidth="1"/>
    <col min="5" max="5" width="13.2083333333333" style="49" customWidth="1"/>
    <col min="6" max="6" width="12.1416666666667" style="49" customWidth="1"/>
    <col min="7" max="7" width="11.9666666666667" style="49" customWidth="1"/>
    <col min="8" max="8" width="18.2166666666667" style="50" customWidth="1"/>
    <col min="9" max="9" width="22.1416666666667" style="50" customWidth="1"/>
    <col min="10" max="10" width="23.7416666666667" style="50" customWidth="1"/>
    <col min="11" max="11" width="22.85" style="50" customWidth="1"/>
    <col min="12" max="20" width="12.625" style="50" customWidth="1"/>
    <col min="21" max="21" width="12.625" style="47" customWidth="1"/>
    <col min="22" max="34" width="12.625" customWidth="1"/>
  </cols>
  <sheetData>
    <row r="1" ht="31.5" spans="1:2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ht="31" customHeight="1" spans="1:34">
      <c r="A2" s="52" t="s">
        <v>1</v>
      </c>
      <c r="B2" s="52" t="s">
        <v>2</v>
      </c>
      <c r="C2" s="53" t="s">
        <v>3</v>
      </c>
      <c r="D2" s="54" t="s">
        <v>4</v>
      </c>
      <c r="E2" s="54"/>
      <c r="F2" s="55"/>
      <c r="G2" s="56" t="s">
        <v>5</v>
      </c>
      <c r="H2" s="55"/>
      <c r="I2" s="65" t="s">
        <v>6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</row>
    <row r="3" spans="1:34">
      <c r="A3" s="52"/>
      <c r="B3" s="52"/>
      <c r="C3" s="53"/>
      <c r="D3" s="52" t="s">
        <v>7</v>
      </c>
      <c r="E3" s="52" t="s">
        <v>8</v>
      </c>
      <c r="F3" s="52" t="s">
        <v>9</v>
      </c>
      <c r="G3" s="52" t="s">
        <v>10</v>
      </c>
      <c r="H3" s="57" t="s">
        <v>11</v>
      </c>
      <c r="I3" s="66" t="s">
        <v>12</v>
      </c>
      <c r="J3" s="66" t="s">
        <v>13</v>
      </c>
      <c r="K3" s="66" t="s">
        <v>14</v>
      </c>
      <c r="L3" s="66" t="s">
        <v>15</v>
      </c>
      <c r="M3" s="66" t="s">
        <v>16</v>
      </c>
      <c r="N3" s="66" t="s">
        <v>17</v>
      </c>
      <c r="O3" s="66" t="s">
        <v>18</v>
      </c>
      <c r="P3" s="66" t="s">
        <v>19</v>
      </c>
      <c r="Q3" s="66" t="s">
        <v>20</v>
      </c>
      <c r="R3" s="66" t="s">
        <v>21</v>
      </c>
      <c r="S3" s="66" t="s">
        <v>22</v>
      </c>
      <c r="T3" s="66" t="s">
        <v>23</v>
      </c>
      <c r="U3" s="66" t="s">
        <v>24</v>
      </c>
      <c r="V3" s="66" t="s">
        <v>25</v>
      </c>
      <c r="W3" s="66" t="s">
        <v>26</v>
      </c>
      <c r="X3" s="66" t="s">
        <v>27</v>
      </c>
      <c r="Y3" s="66" t="s">
        <v>28</v>
      </c>
      <c r="Z3" s="66" t="s">
        <v>29</v>
      </c>
      <c r="AA3" s="66" t="s">
        <v>30</v>
      </c>
      <c r="AB3" s="66" t="s">
        <v>31</v>
      </c>
      <c r="AC3" s="66" t="s">
        <v>32</v>
      </c>
      <c r="AD3" s="66" t="s">
        <v>33</v>
      </c>
      <c r="AE3" s="66" t="s">
        <v>34</v>
      </c>
      <c r="AF3" s="66" t="s">
        <v>35</v>
      </c>
      <c r="AG3" s="66" t="s">
        <v>36</v>
      </c>
      <c r="AH3" s="66" t="s">
        <v>37</v>
      </c>
    </row>
    <row r="4" ht="28" customHeight="1" spans="1:34">
      <c r="A4" s="52"/>
      <c r="B4" s="52"/>
      <c r="C4" s="53"/>
      <c r="D4" s="52"/>
      <c r="E4" s="52"/>
      <c r="F4" s="52"/>
      <c r="G4" s="52"/>
      <c r="H4" s="5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</row>
    <row r="5" ht="28" customHeight="1" spans="1:34">
      <c r="A5" s="58" t="s">
        <v>38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</row>
    <row r="6" ht="20.25" spans="1:34">
      <c r="A6" s="59">
        <v>1</v>
      </c>
      <c r="B6" s="60" t="s">
        <v>39</v>
      </c>
      <c r="C6" s="61" t="s">
        <v>40</v>
      </c>
      <c r="D6" s="61"/>
      <c r="E6" s="61"/>
      <c r="F6" s="61"/>
      <c r="G6" s="61"/>
      <c r="H6" s="62"/>
      <c r="I6" s="60"/>
      <c r="J6" s="68"/>
      <c r="K6" s="68"/>
      <c r="L6" s="68"/>
      <c r="M6" s="60"/>
      <c r="N6" s="60"/>
      <c r="O6" s="60"/>
      <c r="P6" s="60"/>
      <c r="Q6" s="60"/>
      <c r="R6" s="60"/>
      <c r="S6" s="60"/>
      <c r="T6" s="69"/>
      <c r="U6" s="59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</row>
    <row r="7" ht="20.25" spans="1:34">
      <c r="A7" s="59">
        <v>2</v>
      </c>
      <c r="B7" s="60" t="s">
        <v>41</v>
      </c>
      <c r="C7" s="61" t="s">
        <v>42</v>
      </c>
      <c r="D7" s="61"/>
      <c r="E7" s="61"/>
      <c r="F7" s="61"/>
      <c r="G7" s="61"/>
      <c r="H7" s="62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9"/>
      <c r="U7" s="59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</row>
    <row r="8" ht="20.25" spans="1:34">
      <c r="A8" s="59">
        <v>3</v>
      </c>
      <c r="B8" s="60" t="s">
        <v>43</v>
      </c>
      <c r="C8" s="61" t="s">
        <v>42</v>
      </c>
      <c r="D8" s="61"/>
      <c r="E8" s="61"/>
      <c r="F8" s="61"/>
      <c r="G8" s="61"/>
      <c r="H8" s="62"/>
      <c r="I8" s="68"/>
      <c r="J8" s="68"/>
      <c r="K8" s="68"/>
      <c r="L8" s="60"/>
      <c r="M8" s="60"/>
      <c r="N8" s="60"/>
      <c r="O8" s="60"/>
      <c r="P8" s="60"/>
      <c r="Q8" s="60"/>
      <c r="R8" s="60"/>
      <c r="S8" s="60"/>
      <c r="T8" s="69"/>
      <c r="U8" s="59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</row>
    <row r="9" ht="20.25" spans="1:34">
      <c r="A9" s="59">
        <v>4</v>
      </c>
      <c r="B9" s="60" t="s">
        <v>44</v>
      </c>
      <c r="C9" s="61" t="s">
        <v>42</v>
      </c>
      <c r="D9" s="61"/>
      <c r="E9" s="61"/>
      <c r="F9" s="61"/>
      <c r="G9" s="61"/>
      <c r="H9" s="62"/>
      <c r="I9" s="60"/>
      <c r="J9" s="68"/>
      <c r="K9" s="68"/>
      <c r="L9" s="68"/>
      <c r="M9" s="60"/>
      <c r="N9" s="60"/>
      <c r="O9" s="60"/>
      <c r="P9" s="60"/>
      <c r="Q9" s="60"/>
      <c r="R9" s="60"/>
      <c r="S9" s="60"/>
      <c r="T9" s="68"/>
      <c r="U9" s="59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ht="20.25" spans="1:34">
      <c r="A10" s="59">
        <v>5</v>
      </c>
      <c r="B10" s="60" t="s">
        <v>45</v>
      </c>
      <c r="C10" s="61" t="s">
        <v>42</v>
      </c>
      <c r="D10" s="61"/>
      <c r="E10" s="61"/>
      <c r="F10" s="61"/>
      <c r="G10" s="61"/>
      <c r="H10" s="62"/>
      <c r="I10" s="60"/>
      <c r="J10" s="68"/>
      <c r="K10" s="68"/>
      <c r="L10" s="68"/>
      <c r="M10" s="60"/>
      <c r="N10" s="60"/>
      <c r="O10" s="60"/>
      <c r="P10" s="60"/>
      <c r="Q10" s="60"/>
      <c r="R10" s="60"/>
      <c r="S10" s="60"/>
      <c r="T10" s="69"/>
      <c r="U10" s="59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</row>
    <row r="11" ht="20.25" spans="1:34">
      <c r="A11" s="58" t="s">
        <v>46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</row>
    <row r="12" ht="20.25" spans="1:34">
      <c r="A12" s="61">
        <v>1</v>
      </c>
      <c r="B12" s="60" t="s">
        <v>47</v>
      </c>
      <c r="C12" s="61" t="s">
        <v>40</v>
      </c>
      <c r="D12" s="61"/>
      <c r="E12" s="61"/>
      <c r="F12" s="61"/>
      <c r="G12" s="61"/>
      <c r="H12" s="62"/>
      <c r="I12" s="60"/>
      <c r="J12" s="60"/>
      <c r="K12" s="60"/>
      <c r="L12" s="68"/>
      <c r="M12" s="60"/>
      <c r="N12" s="60"/>
      <c r="O12" s="60"/>
      <c r="P12" s="60"/>
      <c r="Q12" s="60"/>
      <c r="R12" s="60"/>
      <c r="S12" s="60"/>
      <c r="T12" s="60"/>
      <c r="U12" s="59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</row>
    <row r="13" ht="20.25" spans="1:34">
      <c r="A13" s="61">
        <v>2</v>
      </c>
      <c r="B13" s="60" t="s">
        <v>48</v>
      </c>
      <c r="C13" s="61" t="s">
        <v>42</v>
      </c>
      <c r="D13" s="61"/>
      <c r="E13" s="61"/>
      <c r="F13" s="61"/>
      <c r="G13" s="61"/>
      <c r="H13" s="62"/>
      <c r="I13" s="60"/>
      <c r="J13" s="68"/>
      <c r="K13" s="68"/>
      <c r="L13" s="60"/>
      <c r="M13" s="60"/>
      <c r="N13" s="60"/>
      <c r="O13" s="60"/>
      <c r="P13" s="60"/>
      <c r="Q13" s="60"/>
      <c r="R13" s="60"/>
      <c r="S13" s="60"/>
      <c r="T13" s="69"/>
      <c r="U13" s="6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ht="20.25" spans="1:34">
      <c r="A14" s="61">
        <v>3</v>
      </c>
      <c r="B14" s="60" t="s">
        <v>49</v>
      </c>
      <c r="C14" s="61" t="s">
        <v>42</v>
      </c>
      <c r="D14" s="61"/>
      <c r="E14" s="61"/>
      <c r="F14" s="61"/>
      <c r="G14" s="61"/>
      <c r="H14" s="62"/>
      <c r="I14" s="60"/>
      <c r="J14" s="68"/>
      <c r="K14" s="68"/>
      <c r="L14" s="60"/>
      <c r="M14" s="60"/>
      <c r="N14" s="60"/>
      <c r="O14" s="60"/>
      <c r="P14" s="60"/>
      <c r="Q14" s="60"/>
      <c r="R14" s="60"/>
      <c r="S14" s="60"/>
      <c r="T14" s="69"/>
      <c r="U14" s="6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ht="20.25" spans="1:34">
      <c r="A15" s="61">
        <v>4</v>
      </c>
      <c r="B15" s="60" t="s">
        <v>50</v>
      </c>
      <c r="C15" s="61" t="s">
        <v>42</v>
      </c>
      <c r="D15" s="61"/>
      <c r="E15" s="61"/>
      <c r="F15" s="61"/>
      <c r="G15" s="61"/>
      <c r="H15" s="62"/>
      <c r="I15" s="60"/>
      <c r="J15" s="68"/>
      <c r="K15" s="60"/>
      <c r="L15" s="60"/>
      <c r="M15" s="60"/>
      <c r="N15" s="60"/>
      <c r="O15" s="60"/>
      <c r="P15" s="60"/>
      <c r="Q15" s="60"/>
      <c r="R15" s="60"/>
      <c r="S15" s="60"/>
      <c r="T15" s="69"/>
      <c r="U15" s="6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ht="20.25" spans="1:34">
      <c r="A16" s="58" t="s">
        <v>51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ht="20.25" spans="1:34">
      <c r="A17" s="63">
        <v>1</v>
      </c>
      <c r="B17" s="60" t="s">
        <v>52</v>
      </c>
      <c r="C17" s="61" t="s">
        <v>40</v>
      </c>
      <c r="D17" s="61"/>
      <c r="E17" s="61"/>
      <c r="F17" s="61"/>
      <c r="G17" s="61"/>
      <c r="H17" s="62"/>
      <c r="I17" s="60"/>
      <c r="J17" s="68"/>
      <c r="K17" s="60"/>
      <c r="L17" s="60"/>
      <c r="M17" s="60"/>
      <c r="N17" s="60"/>
      <c r="O17" s="60"/>
      <c r="P17" s="60"/>
      <c r="Q17" s="60"/>
      <c r="R17" s="60"/>
      <c r="S17" s="60"/>
      <c r="T17" s="69"/>
      <c r="U17" s="6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ht="20.25" spans="1:34">
      <c r="A18" s="63">
        <v>2</v>
      </c>
      <c r="B18" s="60" t="s">
        <v>53</v>
      </c>
      <c r="C18" s="61" t="s">
        <v>42</v>
      </c>
      <c r="D18" s="61"/>
      <c r="E18" s="61"/>
      <c r="F18" s="61"/>
      <c r="G18" s="61"/>
      <c r="H18" s="62"/>
      <c r="I18" s="60"/>
      <c r="J18" s="68"/>
      <c r="K18" s="60"/>
      <c r="L18" s="60"/>
      <c r="M18" s="60"/>
      <c r="N18" s="60"/>
      <c r="O18" s="60"/>
      <c r="P18" s="60"/>
      <c r="Q18" s="60"/>
      <c r="R18" s="60"/>
      <c r="S18" s="60"/>
      <c r="T18" s="69"/>
      <c r="U18" s="6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ht="20.25" spans="1:34">
      <c r="A19" s="63">
        <v>3</v>
      </c>
      <c r="B19" s="60" t="s">
        <v>54</v>
      </c>
      <c r="C19" s="61" t="s">
        <v>42</v>
      </c>
      <c r="D19" s="61"/>
      <c r="E19" s="61"/>
      <c r="F19" s="61"/>
      <c r="G19" s="61"/>
      <c r="H19" s="62"/>
      <c r="I19" s="60"/>
      <c r="J19" s="68"/>
      <c r="K19" s="60"/>
      <c r="L19" s="60"/>
      <c r="M19" s="60"/>
      <c r="N19" s="60"/>
      <c r="O19" s="60"/>
      <c r="P19" s="60"/>
      <c r="Q19" s="60"/>
      <c r="R19" s="60"/>
      <c r="S19" s="60"/>
      <c r="T19" s="69"/>
      <c r="U19" s="6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 ht="20.25" spans="1:34">
      <c r="A20" s="63">
        <v>4</v>
      </c>
      <c r="B20" s="60" t="s">
        <v>55</v>
      </c>
      <c r="C20" s="61" t="s">
        <v>42</v>
      </c>
      <c r="D20" s="61"/>
      <c r="E20" s="61"/>
      <c r="F20" s="61"/>
      <c r="G20" s="61"/>
      <c r="H20" s="62"/>
      <c r="I20" s="60"/>
      <c r="J20" s="68"/>
      <c r="K20" s="60"/>
      <c r="L20" s="60"/>
      <c r="M20" s="60"/>
      <c r="N20" s="60"/>
      <c r="O20" s="60"/>
      <c r="P20" s="60"/>
      <c r="Q20" s="60"/>
      <c r="R20" s="60"/>
      <c r="S20" s="60"/>
      <c r="T20" s="69"/>
      <c r="U20" s="6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</row>
    <row r="21" ht="28" customHeight="1" spans="1:34">
      <c r="A21" s="58" t="s">
        <v>56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</row>
    <row r="22" ht="28" customHeight="1" spans="1:34">
      <c r="A22" s="63">
        <v>1</v>
      </c>
      <c r="B22" s="60" t="s">
        <v>57</v>
      </c>
      <c r="C22" s="61" t="s">
        <v>40</v>
      </c>
      <c r="D22" s="52"/>
      <c r="E22" s="52"/>
      <c r="F22" s="52"/>
      <c r="G22" s="52"/>
      <c r="H22" s="5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</row>
    <row r="23" ht="38" customHeight="1" spans="1:34">
      <c r="A23" s="63">
        <v>2</v>
      </c>
      <c r="B23" s="60" t="s">
        <v>58</v>
      </c>
      <c r="C23" s="61" t="s">
        <v>59</v>
      </c>
      <c r="D23" s="52"/>
      <c r="E23" s="52"/>
      <c r="F23" s="52"/>
      <c r="G23" s="52"/>
      <c r="H23" s="5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</row>
    <row r="24" ht="40" customHeight="1" spans="1:34">
      <c r="A24" s="63">
        <v>3</v>
      </c>
      <c r="B24" s="60" t="s">
        <v>60</v>
      </c>
      <c r="C24" s="61" t="s">
        <v>42</v>
      </c>
      <c r="D24" s="52"/>
      <c r="E24" s="52"/>
      <c r="F24" s="52"/>
      <c r="G24" s="52"/>
      <c r="H24" s="5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</row>
    <row r="25" ht="28" customHeight="1" spans="1:34">
      <c r="A25" s="63">
        <v>4</v>
      </c>
      <c r="B25" s="60" t="s">
        <v>61</v>
      </c>
      <c r="C25" s="61" t="s">
        <v>42</v>
      </c>
      <c r="D25" s="52"/>
      <c r="E25" s="52"/>
      <c r="F25" s="52"/>
      <c r="G25" s="52"/>
      <c r="H25" s="5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</row>
    <row r="26" ht="28" customHeight="1" spans="1:34">
      <c r="A26" s="63">
        <v>5</v>
      </c>
      <c r="B26" s="60" t="s">
        <v>62</v>
      </c>
      <c r="C26" s="61" t="s">
        <v>42</v>
      </c>
      <c r="D26" s="52"/>
      <c r="E26" s="52"/>
      <c r="F26" s="52"/>
      <c r="G26" s="52"/>
      <c r="H26" s="5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</row>
    <row r="27" ht="20.25" spans="1:34">
      <c r="A27" s="58" t="s">
        <v>63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ht="20.25" spans="1:34">
      <c r="A28" s="59">
        <v>1</v>
      </c>
      <c r="B28" s="64" t="s">
        <v>64</v>
      </c>
      <c r="C28" s="60" t="s">
        <v>65</v>
      </c>
      <c r="D28" s="61"/>
      <c r="E28" s="61"/>
      <c r="F28" s="61"/>
      <c r="G28" s="61"/>
      <c r="H28" s="62"/>
      <c r="I28" s="60"/>
      <c r="J28" s="68"/>
      <c r="K28" s="68"/>
      <c r="L28" s="68"/>
      <c r="M28" s="60"/>
      <c r="N28" s="60"/>
      <c r="O28" s="60"/>
      <c r="P28" s="60"/>
      <c r="Q28" s="60"/>
      <c r="R28" s="60"/>
      <c r="S28" s="60"/>
      <c r="T28" s="69"/>
      <c r="U28" s="59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ht="20.25" spans="1:34">
      <c r="A29" s="59">
        <v>2</v>
      </c>
      <c r="B29" s="64" t="s">
        <v>66</v>
      </c>
      <c r="C29" s="60" t="s">
        <v>67</v>
      </c>
      <c r="D29" s="61"/>
      <c r="E29" s="61"/>
      <c r="F29" s="61"/>
      <c r="G29" s="61"/>
      <c r="H29" s="62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9"/>
      <c r="U29" s="59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ht="20.25" spans="1:34">
      <c r="A30" s="59">
        <v>3</v>
      </c>
      <c r="B30" s="64" t="s">
        <v>68</v>
      </c>
      <c r="C30" s="60" t="s">
        <v>67</v>
      </c>
      <c r="D30" s="61"/>
      <c r="E30" s="61"/>
      <c r="F30" s="61"/>
      <c r="G30" s="61"/>
      <c r="H30" s="62"/>
      <c r="I30" s="68"/>
      <c r="J30" s="68"/>
      <c r="K30" s="68"/>
      <c r="L30" s="60"/>
      <c r="M30" s="60"/>
      <c r="N30" s="60"/>
      <c r="O30" s="60"/>
      <c r="P30" s="60"/>
      <c r="Q30" s="60"/>
      <c r="R30" s="60"/>
      <c r="S30" s="60"/>
      <c r="T30" s="69"/>
      <c r="U30" s="59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</row>
    <row r="31" ht="20.25" spans="1:34">
      <c r="A31" s="59">
        <v>4</v>
      </c>
      <c r="B31" s="64" t="s">
        <v>69</v>
      </c>
      <c r="C31" s="60" t="s">
        <v>67</v>
      </c>
      <c r="D31" s="61"/>
      <c r="E31" s="61"/>
      <c r="F31" s="61"/>
      <c r="G31" s="61"/>
      <c r="H31" s="62"/>
      <c r="I31" s="60"/>
      <c r="J31" s="68"/>
      <c r="K31" s="68"/>
      <c r="L31" s="68"/>
      <c r="M31" s="60"/>
      <c r="N31" s="60"/>
      <c r="O31" s="60"/>
      <c r="P31" s="60"/>
      <c r="Q31" s="60"/>
      <c r="R31" s="60"/>
      <c r="S31" s="60"/>
      <c r="T31" s="68"/>
      <c r="U31" s="59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</row>
    <row r="32" ht="20.25" spans="1:34">
      <c r="A32" s="59">
        <v>5</v>
      </c>
      <c r="B32" s="64" t="s">
        <v>70</v>
      </c>
      <c r="C32" s="60" t="s">
        <v>67</v>
      </c>
      <c r="D32" s="61"/>
      <c r="E32" s="61"/>
      <c r="F32" s="61"/>
      <c r="G32" s="61"/>
      <c r="H32" s="62"/>
      <c r="I32" s="60"/>
      <c r="J32" s="68"/>
      <c r="K32" s="68"/>
      <c r="L32" s="68"/>
      <c r="M32" s="60"/>
      <c r="N32" s="60"/>
      <c r="O32" s="60"/>
      <c r="P32" s="60"/>
      <c r="Q32" s="60"/>
      <c r="R32" s="60"/>
      <c r="S32" s="60"/>
      <c r="T32" s="69"/>
      <c r="U32" s="59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</row>
    <row r="33" ht="20.25" spans="1:34">
      <c r="A33" s="59">
        <v>6</v>
      </c>
      <c r="B33" s="64" t="s">
        <v>71</v>
      </c>
      <c r="C33" s="60" t="s">
        <v>67</v>
      </c>
      <c r="D33" s="61"/>
      <c r="E33" s="61"/>
      <c r="F33" s="61"/>
      <c r="G33" s="61"/>
      <c r="H33" s="62"/>
      <c r="I33" s="60"/>
      <c r="J33" s="68"/>
      <c r="K33" s="68"/>
      <c r="L33" s="60"/>
      <c r="M33" s="60"/>
      <c r="N33" s="60"/>
      <c r="O33" s="60"/>
      <c r="P33" s="60"/>
      <c r="Q33" s="60"/>
      <c r="R33" s="60"/>
      <c r="S33" s="60"/>
      <c r="T33" s="69"/>
      <c r="U33" s="59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</row>
    <row r="34" ht="20.25" spans="1:34">
      <c r="A34" s="59">
        <v>7</v>
      </c>
      <c r="B34" s="64" t="s">
        <v>72</v>
      </c>
      <c r="C34" s="60" t="s">
        <v>67</v>
      </c>
      <c r="D34" s="61"/>
      <c r="E34" s="61"/>
      <c r="F34" s="61"/>
      <c r="G34" s="61"/>
      <c r="H34" s="62"/>
      <c r="I34" s="60"/>
      <c r="J34" s="60"/>
      <c r="K34" s="60"/>
      <c r="L34" s="68"/>
      <c r="M34" s="60"/>
      <c r="N34" s="60"/>
      <c r="O34" s="60"/>
      <c r="P34" s="60"/>
      <c r="Q34" s="60"/>
      <c r="R34" s="60"/>
      <c r="S34" s="60"/>
      <c r="T34" s="60" t="s">
        <v>73</v>
      </c>
      <c r="U34" s="59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</row>
    <row r="35" ht="20.25" spans="1:34">
      <c r="A35" s="61">
        <v>8</v>
      </c>
      <c r="B35" s="64" t="s">
        <v>74</v>
      </c>
      <c r="C35" s="60" t="s">
        <v>67</v>
      </c>
      <c r="D35" s="61"/>
      <c r="E35" s="61"/>
      <c r="F35" s="61"/>
      <c r="G35" s="61"/>
      <c r="H35" s="62"/>
      <c r="I35" s="60"/>
      <c r="J35" s="68"/>
      <c r="K35" s="68"/>
      <c r="L35" s="60"/>
      <c r="M35" s="60"/>
      <c r="N35" s="60"/>
      <c r="O35" s="60"/>
      <c r="P35" s="60"/>
      <c r="Q35" s="60"/>
      <c r="R35" s="60"/>
      <c r="S35" s="60"/>
      <c r="T35" s="69"/>
      <c r="U35" s="6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ht="20.25" spans="1:34">
      <c r="A36" s="61">
        <v>9</v>
      </c>
      <c r="B36" s="64" t="s">
        <v>75</v>
      </c>
      <c r="C36" s="60" t="s">
        <v>67</v>
      </c>
      <c r="D36" s="61"/>
      <c r="E36" s="61"/>
      <c r="F36" s="61"/>
      <c r="G36" s="61"/>
      <c r="H36" s="62"/>
      <c r="I36" s="60"/>
      <c r="J36" s="68"/>
      <c r="K36" s="68"/>
      <c r="L36" s="60"/>
      <c r="M36" s="60"/>
      <c r="N36" s="60"/>
      <c r="O36" s="60"/>
      <c r="P36" s="60"/>
      <c r="Q36" s="60"/>
      <c r="R36" s="60"/>
      <c r="S36" s="60"/>
      <c r="T36" s="69"/>
      <c r="U36" s="6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</row>
    <row r="37" ht="20.25" spans="1:34">
      <c r="A37" s="61">
        <v>10</v>
      </c>
      <c r="B37" s="64" t="s">
        <v>76</v>
      </c>
      <c r="C37" s="60" t="s">
        <v>67</v>
      </c>
      <c r="D37" s="61"/>
      <c r="E37" s="61"/>
      <c r="F37" s="61"/>
      <c r="G37" s="61"/>
      <c r="H37" s="62"/>
      <c r="I37" s="60"/>
      <c r="J37" s="68"/>
      <c r="K37" s="60"/>
      <c r="L37" s="60"/>
      <c r="M37" s="60"/>
      <c r="N37" s="60"/>
      <c r="O37" s="60"/>
      <c r="P37" s="60"/>
      <c r="Q37" s="60"/>
      <c r="R37" s="60"/>
      <c r="S37" s="60"/>
      <c r="T37" s="69"/>
      <c r="U37" s="6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ht="20.25" spans="1:34">
      <c r="A38" s="61">
        <v>11</v>
      </c>
      <c r="B38" s="64" t="s">
        <v>77</v>
      </c>
      <c r="C38" s="60" t="s">
        <v>67</v>
      </c>
      <c r="D38" s="61"/>
      <c r="E38" s="61"/>
      <c r="F38" s="61"/>
      <c r="G38" s="61"/>
      <c r="H38" s="62"/>
      <c r="I38" s="60"/>
      <c r="J38" s="68"/>
      <c r="K38" s="60"/>
      <c r="L38" s="60"/>
      <c r="M38" s="60"/>
      <c r="N38" s="60"/>
      <c r="O38" s="60"/>
      <c r="P38" s="60"/>
      <c r="Q38" s="60"/>
      <c r="R38" s="60"/>
      <c r="S38" s="60"/>
      <c r="T38" s="69"/>
      <c r="U38" s="6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</row>
    <row r="39" ht="20.25" spans="1:34">
      <c r="A39" s="58" t="s">
        <v>78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</row>
    <row r="40" ht="20.25" spans="1:34">
      <c r="A40" s="60">
        <v>1</v>
      </c>
      <c r="B40" s="60" t="s">
        <v>79</v>
      </c>
      <c r="C40" s="60" t="s">
        <v>67</v>
      </c>
      <c r="D40" s="61"/>
      <c r="E40" s="61"/>
      <c r="F40" s="61"/>
      <c r="G40" s="61"/>
      <c r="H40" s="62"/>
      <c r="I40" s="68"/>
      <c r="J40" s="69"/>
      <c r="K40" s="68"/>
      <c r="L40" s="60"/>
      <c r="M40" s="60"/>
      <c r="N40" s="69"/>
      <c r="O40" s="69"/>
      <c r="P40" s="69"/>
      <c r="Q40" s="69"/>
      <c r="R40" s="69"/>
      <c r="S40" s="69"/>
      <c r="T40" s="69"/>
      <c r="U40" s="6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ht="20.25" spans="1:34">
      <c r="A41" s="60">
        <v>2</v>
      </c>
      <c r="B41" s="60" t="s">
        <v>80</v>
      </c>
      <c r="C41" s="60" t="s">
        <v>67</v>
      </c>
      <c r="D41" s="61"/>
      <c r="E41" s="61"/>
      <c r="F41" s="61"/>
      <c r="G41" s="61"/>
      <c r="H41" s="62"/>
      <c r="I41" s="68"/>
      <c r="J41" s="69"/>
      <c r="K41" s="68"/>
      <c r="L41" s="60"/>
      <c r="M41" s="60"/>
      <c r="N41" s="60"/>
      <c r="O41" s="60"/>
      <c r="P41" s="60"/>
      <c r="Q41" s="60"/>
      <c r="R41" s="60"/>
      <c r="S41" s="60"/>
      <c r="T41" s="69"/>
      <c r="U41" s="6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</row>
    <row r="42" ht="20.25" spans="1:34">
      <c r="A42" s="60">
        <v>4</v>
      </c>
      <c r="B42" s="60" t="s">
        <v>81</v>
      </c>
      <c r="C42" s="60" t="s">
        <v>67</v>
      </c>
      <c r="D42" s="61"/>
      <c r="E42" s="61"/>
      <c r="F42" s="61"/>
      <c r="G42" s="61"/>
      <c r="H42" s="62"/>
      <c r="I42" s="60"/>
      <c r="J42" s="69"/>
      <c r="K42" s="60"/>
      <c r="L42" s="68"/>
      <c r="M42" s="60"/>
      <c r="N42" s="60"/>
      <c r="O42" s="60"/>
      <c r="P42" s="60"/>
      <c r="Q42" s="60"/>
      <c r="R42" s="60"/>
      <c r="S42" s="60"/>
      <c r="T42" s="60" t="s">
        <v>82</v>
      </c>
      <c r="U42" s="6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</row>
    <row r="43" ht="20.25" spans="1:34">
      <c r="A43" s="60">
        <v>3</v>
      </c>
      <c r="B43" s="60" t="s">
        <v>83</v>
      </c>
      <c r="C43" s="60" t="s">
        <v>67</v>
      </c>
      <c r="D43" s="61"/>
      <c r="E43" s="61"/>
      <c r="F43" s="61"/>
      <c r="G43" s="61"/>
      <c r="H43" s="62"/>
      <c r="I43" s="60"/>
      <c r="J43" s="69"/>
      <c r="K43" s="68"/>
      <c r="L43" s="60"/>
      <c r="M43" s="60"/>
      <c r="N43" s="69"/>
      <c r="O43" s="69"/>
      <c r="P43" s="69"/>
      <c r="Q43" s="69"/>
      <c r="R43" s="69"/>
      <c r="S43" s="69"/>
      <c r="T43" s="69"/>
      <c r="U43" s="6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</row>
    <row r="44" ht="20.25" spans="1:34">
      <c r="A44" s="60">
        <v>5</v>
      </c>
      <c r="B44" s="60" t="s">
        <v>84</v>
      </c>
      <c r="C44" s="60" t="s">
        <v>67</v>
      </c>
      <c r="D44" s="61"/>
      <c r="E44" s="61"/>
      <c r="F44" s="61"/>
      <c r="G44" s="61"/>
      <c r="H44" s="62"/>
      <c r="I44" s="69"/>
      <c r="J44" s="69"/>
      <c r="K44" s="60"/>
      <c r="L44" s="60"/>
      <c r="M44" s="60"/>
      <c r="N44" s="69"/>
      <c r="O44" s="69"/>
      <c r="P44" s="69"/>
      <c r="Q44" s="69"/>
      <c r="R44" s="69"/>
      <c r="S44" s="69"/>
      <c r="T44" s="69"/>
      <c r="U44" s="6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ht="20.25" spans="1:34">
      <c r="A45" s="58" t="s">
        <v>85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</row>
    <row r="46" ht="20.25" spans="1:34">
      <c r="A46" s="61">
        <v>1</v>
      </c>
      <c r="B46" s="60" t="s">
        <v>86</v>
      </c>
      <c r="C46" s="60" t="s">
        <v>67</v>
      </c>
      <c r="D46" s="61"/>
      <c r="E46" s="61"/>
      <c r="F46" s="61"/>
      <c r="G46" s="61"/>
      <c r="H46" s="62"/>
      <c r="I46" s="68"/>
      <c r="J46" s="69"/>
      <c r="K46" s="68"/>
      <c r="L46" s="60"/>
      <c r="M46" s="69"/>
      <c r="N46" s="69"/>
      <c r="O46" s="69"/>
      <c r="P46" s="69"/>
      <c r="Q46" s="69"/>
      <c r="R46" s="69"/>
      <c r="S46" s="69"/>
      <c r="T46" s="69"/>
      <c r="U46" s="6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</row>
    <row r="47" ht="20.25" spans="1:34">
      <c r="A47" s="61">
        <v>2</v>
      </c>
      <c r="B47" s="60" t="s">
        <v>87</v>
      </c>
      <c r="C47" s="60" t="s">
        <v>67</v>
      </c>
      <c r="D47" s="61"/>
      <c r="E47" s="61"/>
      <c r="F47" s="61"/>
      <c r="G47" s="61"/>
      <c r="H47" s="62"/>
      <c r="I47" s="60"/>
      <c r="J47" s="69"/>
      <c r="K47" s="68"/>
      <c r="L47" s="60"/>
      <c r="M47" s="60"/>
      <c r="N47" s="69"/>
      <c r="O47" s="69"/>
      <c r="P47" s="69"/>
      <c r="Q47" s="69"/>
      <c r="R47" s="69"/>
      <c r="S47" s="69"/>
      <c r="T47" s="69"/>
      <c r="U47" s="6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</row>
    <row r="48" ht="20.25" spans="1:34">
      <c r="A48" s="61">
        <v>3</v>
      </c>
      <c r="B48" s="60" t="s">
        <v>88</v>
      </c>
      <c r="C48" s="60" t="s">
        <v>67</v>
      </c>
      <c r="D48" s="61"/>
      <c r="E48" s="61"/>
      <c r="F48" s="61"/>
      <c r="G48" s="61"/>
      <c r="H48" s="62"/>
      <c r="I48" s="61"/>
      <c r="J48" s="69"/>
      <c r="K48" s="60"/>
      <c r="L48" s="69"/>
      <c r="M48" s="69"/>
      <c r="N48" s="69"/>
      <c r="O48" s="69"/>
      <c r="P48" s="69"/>
      <c r="Q48" s="69"/>
      <c r="R48" s="69"/>
      <c r="S48" s="69"/>
      <c r="T48" s="69"/>
      <c r="U48" s="6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</row>
    <row r="49" ht="20.25" spans="1:34">
      <c r="A49" s="61">
        <v>4</v>
      </c>
      <c r="B49" s="60" t="s">
        <v>89</v>
      </c>
      <c r="C49" s="60" t="s">
        <v>67</v>
      </c>
      <c r="D49" s="61"/>
      <c r="E49" s="61"/>
      <c r="F49" s="61"/>
      <c r="G49" s="61"/>
      <c r="H49" s="62"/>
      <c r="I49" s="60"/>
      <c r="J49" s="69"/>
      <c r="K49" s="60"/>
      <c r="L49" s="60"/>
      <c r="M49" s="60"/>
      <c r="N49" s="60"/>
      <c r="O49" s="60"/>
      <c r="P49" s="60"/>
      <c r="Q49" s="60"/>
      <c r="R49" s="60"/>
      <c r="S49" s="60"/>
      <c r="T49" s="69"/>
      <c r="U49" s="6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</row>
    <row r="50" ht="20.25" spans="1:34">
      <c r="A50" s="58" t="s">
        <v>90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</row>
    <row r="51" ht="20.25" spans="1:34">
      <c r="A51" s="61">
        <v>1</v>
      </c>
      <c r="B51" s="60" t="s">
        <v>91</v>
      </c>
      <c r="C51" s="60" t="s">
        <v>67</v>
      </c>
      <c r="D51" s="61"/>
      <c r="E51" s="61"/>
      <c r="F51" s="61"/>
      <c r="G51" s="61"/>
      <c r="H51" s="62"/>
      <c r="I51" s="61"/>
      <c r="J51" s="69"/>
      <c r="K51" s="60"/>
      <c r="L51" s="60"/>
      <c r="M51" s="69"/>
      <c r="N51" s="69"/>
      <c r="O51" s="69"/>
      <c r="P51" s="69"/>
      <c r="Q51" s="69"/>
      <c r="R51" s="69"/>
      <c r="S51" s="69"/>
      <c r="T51" s="69"/>
      <c r="U51" s="6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</row>
    <row r="52" ht="20.25" spans="1:34">
      <c r="A52" s="61">
        <v>2</v>
      </c>
      <c r="B52" s="60" t="s">
        <v>92</v>
      </c>
      <c r="C52" s="60" t="s">
        <v>67</v>
      </c>
      <c r="D52" s="61"/>
      <c r="E52" s="61"/>
      <c r="F52" s="61"/>
      <c r="G52" s="61"/>
      <c r="H52" s="62"/>
      <c r="I52" s="61"/>
      <c r="J52" s="69"/>
      <c r="K52" s="68"/>
      <c r="L52" s="60"/>
      <c r="M52" s="60"/>
      <c r="N52" s="60"/>
      <c r="O52" s="60"/>
      <c r="P52" s="60"/>
      <c r="Q52" s="60"/>
      <c r="R52" s="60"/>
      <c r="S52" s="60"/>
      <c r="T52" s="68"/>
      <c r="U52" s="6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ht="20.25" spans="1:34">
      <c r="A53" s="61">
        <v>3</v>
      </c>
      <c r="B53" s="60" t="s">
        <v>93</v>
      </c>
      <c r="C53" s="60" t="s">
        <v>67</v>
      </c>
      <c r="D53" s="61"/>
      <c r="E53" s="61"/>
      <c r="F53" s="61"/>
      <c r="G53" s="61"/>
      <c r="H53" s="62"/>
      <c r="I53" s="61"/>
      <c r="J53" s="69"/>
      <c r="K53" s="60"/>
      <c r="L53" s="60"/>
      <c r="M53" s="60"/>
      <c r="N53" s="69"/>
      <c r="O53" s="69"/>
      <c r="P53" s="69"/>
      <c r="Q53" s="69"/>
      <c r="R53" s="69"/>
      <c r="S53" s="69"/>
      <c r="T53" s="69"/>
      <c r="U53" s="6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</row>
    <row r="54" ht="20.25" spans="1:34">
      <c r="A54" s="61">
        <v>4</v>
      </c>
      <c r="B54" s="60" t="s">
        <v>94</v>
      </c>
      <c r="C54" s="60" t="s">
        <v>67</v>
      </c>
      <c r="D54" s="61"/>
      <c r="E54" s="61"/>
      <c r="F54" s="61"/>
      <c r="G54" s="61"/>
      <c r="H54" s="62"/>
      <c r="I54" s="60"/>
      <c r="J54" s="69"/>
      <c r="K54" s="60"/>
      <c r="L54" s="60"/>
      <c r="M54" s="60"/>
      <c r="N54" s="69"/>
      <c r="O54" s="69"/>
      <c r="P54" s="69"/>
      <c r="Q54" s="69"/>
      <c r="R54" s="69"/>
      <c r="S54" s="69"/>
      <c r="T54" s="69"/>
      <c r="U54" s="6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</row>
    <row r="55" ht="20.25" spans="1:3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</row>
    <row r="56" ht="20.25" spans="1:34">
      <c r="A56" s="61">
        <v>1</v>
      </c>
      <c r="B56" s="60" t="s">
        <v>95</v>
      </c>
      <c r="C56" s="60" t="s">
        <v>67</v>
      </c>
      <c r="D56" s="61"/>
      <c r="E56" s="61"/>
      <c r="F56" s="61"/>
      <c r="G56" s="61"/>
      <c r="H56" s="62"/>
      <c r="I56" s="68"/>
      <c r="J56" s="69"/>
      <c r="K56" s="60"/>
      <c r="L56" s="69"/>
      <c r="M56" s="69"/>
      <c r="N56" s="69"/>
      <c r="O56" s="69"/>
      <c r="P56" s="69"/>
      <c r="Q56" s="69"/>
      <c r="R56" s="69"/>
      <c r="S56" s="69"/>
      <c r="T56" s="69"/>
      <c r="U56" s="6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</row>
    <row r="57" ht="20.25" spans="1:34">
      <c r="A57" s="61">
        <v>2</v>
      </c>
      <c r="B57" s="60" t="s">
        <v>96</v>
      </c>
      <c r="C57" s="60" t="s">
        <v>67</v>
      </c>
      <c r="D57" s="61"/>
      <c r="E57" s="61"/>
      <c r="F57" s="61"/>
      <c r="G57" s="61"/>
      <c r="H57" s="62"/>
      <c r="I57" s="60"/>
      <c r="J57" s="69"/>
      <c r="K57" s="60"/>
      <c r="L57" s="68"/>
      <c r="M57" s="69"/>
      <c r="N57" s="69"/>
      <c r="O57" s="69"/>
      <c r="P57" s="69"/>
      <c r="Q57" s="69"/>
      <c r="R57" s="69"/>
      <c r="S57" s="69"/>
      <c r="T57" s="69"/>
      <c r="U57" s="6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</row>
    <row r="58" ht="20.25" spans="1:34">
      <c r="A58" s="61">
        <v>3</v>
      </c>
      <c r="B58" s="60" t="s">
        <v>97</v>
      </c>
      <c r="C58" s="60" t="s">
        <v>67</v>
      </c>
      <c r="D58" s="61"/>
      <c r="E58" s="61"/>
      <c r="F58" s="61"/>
      <c r="G58" s="61"/>
      <c r="H58" s="62"/>
      <c r="I58" s="68"/>
      <c r="J58" s="69"/>
      <c r="K58" s="60"/>
      <c r="L58" s="60"/>
      <c r="M58" s="69"/>
      <c r="N58" s="69"/>
      <c r="O58" s="69"/>
      <c r="P58" s="69"/>
      <c r="Q58" s="69"/>
      <c r="R58" s="69"/>
      <c r="S58" s="69"/>
      <c r="T58" s="69"/>
      <c r="U58" s="6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</row>
    <row r="59" ht="20.25" spans="1:34">
      <c r="A59" s="61">
        <v>4</v>
      </c>
      <c r="B59" s="60" t="s">
        <v>98</v>
      </c>
      <c r="C59" s="60" t="s">
        <v>67</v>
      </c>
      <c r="D59" s="61"/>
      <c r="E59" s="61"/>
      <c r="F59" s="61"/>
      <c r="G59" s="61"/>
      <c r="H59" s="62"/>
      <c r="I59" s="60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</row>
    <row r="60" ht="20.25" spans="1:34">
      <c r="A60" s="61">
        <v>5</v>
      </c>
      <c r="B60" s="60" t="s">
        <v>99</v>
      </c>
      <c r="C60" s="60" t="s">
        <v>67</v>
      </c>
      <c r="D60" s="61"/>
      <c r="E60" s="61"/>
      <c r="F60" s="61"/>
      <c r="G60" s="61"/>
      <c r="H60" s="62"/>
      <c r="I60" s="61"/>
      <c r="J60" s="69"/>
      <c r="K60" s="60"/>
      <c r="L60" s="60"/>
      <c r="M60" s="69"/>
      <c r="N60" s="69"/>
      <c r="O60" s="69"/>
      <c r="P60" s="69"/>
      <c r="Q60" s="69"/>
      <c r="R60" s="69"/>
      <c r="S60" s="69"/>
      <c r="T60" s="69"/>
      <c r="U60" s="6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</row>
    <row r="61" ht="20.25" spans="1:34">
      <c r="A61" s="58" t="s">
        <v>100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</row>
    <row r="62" ht="40.5" spans="1:34">
      <c r="A62" s="61">
        <v>1</v>
      </c>
      <c r="B62" s="60" t="s">
        <v>101</v>
      </c>
      <c r="C62" s="60" t="s">
        <v>67</v>
      </c>
      <c r="D62" s="61"/>
      <c r="E62" s="61"/>
      <c r="F62" s="61"/>
      <c r="G62" s="61"/>
      <c r="H62" s="62"/>
      <c r="I62" s="60"/>
      <c r="J62" s="60"/>
      <c r="K62" s="60"/>
      <c r="L62" s="60"/>
      <c r="M62" s="60"/>
      <c r="N62" s="69"/>
      <c r="O62" s="69"/>
      <c r="P62" s="69"/>
      <c r="Q62" s="69"/>
      <c r="R62" s="69"/>
      <c r="S62" s="69"/>
      <c r="T62" s="69"/>
      <c r="U62" s="6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</row>
    <row r="63" ht="40.5" spans="1:34">
      <c r="A63" s="61">
        <v>2</v>
      </c>
      <c r="B63" s="60" t="s">
        <v>102</v>
      </c>
      <c r="C63" s="60" t="s">
        <v>67</v>
      </c>
      <c r="D63" s="61"/>
      <c r="E63" s="61"/>
      <c r="F63" s="61"/>
      <c r="G63" s="61"/>
      <c r="H63" s="62"/>
      <c r="I63" s="61"/>
      <c r="J63" s="70"/>
      <c r="K63" s="60"/>
      <c r="L63" s="69"/>
      <c r="M63" s="69"/>
      <c r="N63" s="69"/>
      <c r="O63" s="69"/>
      <c r="P63" s="69"/>
      <c r="Q63" s="69"/>
      <c r="R63" s="69"/>
      <c r="S63" s="69"/>
      <c r="T63" s="69"/>
      <c r="U63" s="6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ht="40.5" spans="1:34">
      <c r="A64" s="61">
        <v>3</v>
      </c>
      <c r="B64" s="60" t="s">
        <v>103</v>
      </c>
      <c r="C64" s="60" t="s">
        <v>67</v>
      </c>
      <c r="D64" s="61"/>
      <c r="E64" s="61"/>
      <c r="F64" s="61"/>
      <c r="G64" s="61"/>
      <c r="H64" s="62"/>
      <c r="I64" s="61"/>
      <c r="J64" s="69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</row>
    <row r="65" ht="20.25" spans="1:34">
      <c r="A65" s="61">
        <v>4</v>
      </c>
      <c r="B65" s="60" t="s">
        <v>104</v>
      </c>
      <c r="C65" s="60" t="s">
        <v>67</v>
      </c>
      <c r="D65" s="61"/>
      <c r="E65" s="61"/>
      <c r="F65" s="61"/>
      <c r="G65" s="61"/>
      <c r="H65" s="62"/>
      <c r="I65" s="61"/>
      <c r="J65" s="69"/>
      <c r="K65" s="60"/>
      <c r="L65" s="69"/>
      <c r="M65" s="69"/>
      <c r="N65" s="69"/>
      <c r="O65" s="69"/>
      <c r="P65" s="69"/>
      <c r="Q65" s="69"/>
      <c r="R65" s="69"/>
      <c r="S65" s="69"/>
      <c r="T65" s="69"/>
      <c r="U65" s="6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</row>
    <row r="66" ht="40.5" spans="1:34">
      <c r="A66" s="61">
        <v>5</v>
      </c>
      <c r="B66" s="60" t="s">
        <v>105</v>
      </c>
      <c r="C66" s="60" t="s">
        <v>67</v>
      </c>
      <c r="D66" s="61"/>
      <c r="E66" s="61"/>
      <c r="F66" s="61"/>
      <c r="G66" s="61"/>
      <c r="H66" s="62"/>
      <c r="I66" s="61"/>
      <c r="J66" s="69"/>
      <c r="K66" s="60"/>
      <c r="L66" s="60"/>
      <c r="M66" s="69"/>
      <c r="N66" s="69"/>
      <c r="O66" s="69"/>
      <c r="P66" s="69"/>
      <c r="Q66" s="69"/>
      <c r="R66" s="69"/>
      <c r="S66" s="69"/>
      <c r="T66" s="69"/>
      <c r="U66" s="6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</row>
    <row r="67" ht="20.25" spans="1:34">
      <c r="A67" s="61">
        <v>6</v>
      </c>
      <c r="B67" s="60" t="s">
        <v>106</v>
      </c>
      <c r="C67" s="72"/>
      <c r="D67" s="72"/>
      <c r="E67" s="72"/>
      <c r="F67" s="72"/>
      <c r="G67" s="72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80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</row>
    <row r="68" ht="20.25" spans="1:34">
      <c r="A68" s="61">
        <v>7</v>
      </c>
      <c r="B68" s="60" t="s">
        <v>107</v>
      </c>
      <c r="C68" s="72"/>
      <c r="D68" s="72"/>
      <c r="E68" s="72"/>
      <c r="F68" s="72"/>
      <c r="G68" s="72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80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</row>
    <row r="69" ht="41" customHeight="1" spans="3:20">
      <c r="C69" s="74" t="s">
        <v>108</v>
      </c>
      <c r="D69" s="74">
        <f>SUMIF($C$6:$C$26,"A",D6:D26)</f>
        <v>0</v>
      </c>
      <c r="E69" s="74">
        <f>SUMIF($C$6:$C$26,"A",E6:E26)</f>
        <v>0</v>
      </c>
      <c r="F69" s="74">
        <f>SUMIF($C$6:$C$26,"A",F6:F26)</f>
        <v>0</v>
      </c>
      <c r="G69" s="74">
        <f>SUMIF($C$6:$C$26,"A",G6:G26)</f>
        <v>0</v>
      </c>
      <c r="H69" s="75" t="e">
        <f>SUM(G69:G69)/D69</f>
        <v>#DIV/0!</v>
      </c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</row>
    <row r="70" ht="39" customHeight="1" spans="3:20">
      <c r="C70" s="76" t="s">
        <v>109</v>
      </c>
      <c r="D70" s="76">
        <f>SUMIF($C$6:$C$26,"B",D6:D26)</f>
        <v>0</v>
      </c>
      <c r="E70" s="76">
        <f>SUMIF($C$6:$C$26,"B",E6:E26)</f>
        <v>0</v>
      </c>
      <c r="F70" s="76">
        <f>SUMIF($C$6:$C$26,"A",F7:F27)</f>
        <v>0</v>
      </c>
      <c r="G70" s="76">
        <f>SUMIF($C$6:$C$26,"B",G6:G26)</f>
        <v>0</v>
      </c>
      <c r="H70" s="77" t="e">
        <f>SUM(G70:G70)/D70</f>
        <v>#DIV/0!</v>
      </c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</row>
    <row r="72" ht="44" customHeight="1" spans="3:20">
      <c r="C72" s="76" t="s">
        <v>110</v>
      </c>
      <c r="D72" s="76">
        <f>SUMIF($C$27:$C$66,"优秀",D27:D66)</f>
        <v>0</v>
      </c>
      <c r="E72" s="76">
        <f>SUMIF($C$27:$C$66,"优秀",E27:E66)</f>
        <v>0</v>
      </c>
      <c r="F72" s="76">
        <f>SUMIF($C$27:$C$66,"优秀",F27:F66)</f>
        <v>0</v>
      </c>
      <c r="G72" s="76">
        <f>SUMIF($C$27:$C$66,"优秀",G27:G66)</f>
        <v>0</v>
      </c>
      <c r="H72" s="77" t="e">
        <f>SUM(G72:G72)/D72</f>
        <v>#DIV/0!</v>
      </c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</row>
    <row r="73" ht="32" customHeight="1" spans="3:20">
      <c r="C73" s="76" t="s">
        <v>111</v>
      </c>
      <c r="D73" s="76">
        <f>SUMIF($C$27:$C$66,"良好",D27:D66)</f>
        <v>0</v>
      </c>
      <c r="E73" s="76">
        <f>SUMIF($C$27:$C$66,"良好",E27:E66)</f>
        <v>0</v>
      </c>
      <c r="F73" s="76">
        <f>SUMIF($C$27:$C$66,"良好",F27:F66)</f>
        <v>0</v>
      </c>
      <c r="G73" s="76">
        <f>SUMIF($C$27:$C$66,"良好",G27:G66)</f>
        <v>0</v>
      </c>
      <c r="H73" s="77" t="e">
        <f>SUM(G73:G73)/D73</f>
        <v>#DIV/0!</v>
      </c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</row>
    <row r="76" ht="20.25" spans="4:8">
      <c r="D76" s="48"/>
      <c r="E76" s="48"/>
      <c r="F76" s="48"/>
      <c r="G76" s="48"/>
      <c r="H76" s="78"/>
    </row>
    <row r="77" ht="20.25" spans="4:8">
      <c r="D77" s="48"/>
      <c r="E77" s="48"/>
      <c r="F77" s="48"/>
      <c r="G77" s="48"/>
      <c r="H77" s="78"/>
    </row>
  </sheetData>
  <mergeCells count="48">
    <mergeCell ref="A1:U1"/>
    <mergeCell ref="D2:F2"/>
    <mergeCell ref="G2:H2"/>
    <mergeCell ref="I2:AH2"/>
    <mergeCell ref="A5:U5"/>
    <mergeCell ref="A11:U11"/>
    <mergeCell ref="A16:U16"/>
    <mergeCell ref="A21:U21"/>
    <mergeCell ref="A27:U27"/>
    <mergeCell ref="A39:U39"/>
    <mergeCell ref="A45:U45"/>
    <mergeCell ref="A50:U50"/>
    <mergeCell ref="A55:U55"/>
    <mergeCell ref="A61:U61"/>
    <mergeCell ref="A2:A4"/>
    <mergeCell ref="B2:B4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I6">
    <cfRule type="expression" dxfId="0" priority="9">
      <formula>COUNTIFS('F:\人力资源部\B-年度综合考核-2025年\9.结果\[1]所属单位副职+参控股公司及其它副职（89+7）'!#REF!,I6,'F:\人力资源部\B-年度综合考核-2025年\9.结果\[1]所属单位副职+参控股公司及其它副职（89+7）'!#REF!,"优秀")</formula>
    </cfRule>
  </conditionalFormatting>
  <conditionalFormatting sqref="K6">
    <cfRule type="expression" dxfId="0" priority="7">
      <formula>COUNTIFS('F:\人力资源部\B-年度综合考核-2025年\9.结果\[1]所属单位纪委书记、纪检委员（17）'!#REF!,K6,'F:\人力资源部\B-年度综合考核-2025年\9.结果\[1]所属单位纪委书记、纪检委员（17）'!#REF!,"优秀")</formula>
    </cfRule>
  </conditionalFormatting>
  <conditionalFormatting sqref="L6">
    <cfRule type="expression" dxfId="0" priority="21">
      <formula>COUNTIFS('F:\人力资源部\B-年度综合考核-2025年\9.结果\[1]所属单位纪委书记、纪检委员（17）'!#REF!,L6,'F:\人力资源部\B-年度综合考核-2025年\9.结果\[1]所属单位纪委书记、纪检委员（17）'!#REF!,"优秀")</formula>
    </cfRule>
  </conditionalFormatting>
  <conditionalFormatting sqref="I7">
    <cfRule type="expression" dxfId="0" priority="3">
      <formula>COUNTIFS('F:\人力资源部\B-年度综合考核-2025年\9.结果\[1]所属单位副职+参控股公司及其它副职（89+7）'!#REF!,I7,'F:\人力资源部\B-年度综合考核-2025年\9.结果\[1]所属单位副职+参控股公司及其它副职（89+7）'!#REF!,"优秀")</formula>
    </cfRule>
  </conditionalFormatting>
  <conditionalFormatting sqref="J7">
    <cfRule type="expression" dxfId="0" priority="2">
      <formula>COUNTIFS('F:\人力资源部\B-年度综合考核-2025年\9.结果\[1]所属单位副职+参控股公司及其它副职（89+7）'!#REF!,J7,'F:\人力资源部\B-年度综合考核-2025年\9.结果\[1]所属单位副职+参控股公司及其它副职（89+7）'!#REF!,"优秀")</formula>
    </cfRule>
  </conditionalFormatting>
  <conditionalFormatting sqref="K7">
    <cfRule type="expression" dxfId="0" priority="1">
      <formula>COUNTIFS('F:\人力资源部\B-年度综合考核-2025年\9.结果\[1]所属单位副职+参控股公司及其它副职（89+7）'!#REF!,K7,'F:\人力资源部\B-年度综合考核-2025年\9.结果\[1]所属单位副职+参控股公司及其它副职（89+7）'!#REF!,"优秀")</formula>
    </cfRule>
  </conditionalFormatting>
  <conditionalFormatting sqref="I8">
    <cfRule type="expression" dxfId="0" priority="23">
      <formula>COUNTIFS('F:\人力资源部\B-年度综合考核-2025年\9.结果\[1]所属单位纪委书记、纪检委员（17）'!#REF!,I8,'F:\人力资源部\B-年度综合考核-2025年\9.结果\[1]所属单位纪委书记、纪检委员（17）'!#REF!,"优秀")</formula>
    </cfRule>
  </conditionalFormatting>
  <conditionalFormatting sqref="K8">
    <cfRule type="expression" dxfId="0" priority="22">
      <formula>COUNTIFS('F:\人力资源部\B-年度综合考核-2025年\9.结果\[1]所属单位纪委书记、纪检委员（17）'!#REF!,K8,'F:\人力资源部\B-年度综合考核-2025年\9.结果\[1]所属单位纪委书记、纪检委员（17）'!#REF!,"优秀")</formula>
    </cfRule>
  </conditionalFormatting>
  <conditionalFormatting sqref="K9">
    <cfRule type="expression" dxfId="0" priority="20">
      <formula>COUNTIFS('F:\人力资源部\B-年度综合考核-2025年\9.结果\[1]所属单位纪委书记、纪检委员（17）'!#REF!,K9,'F:\人力资源部\B-年度综合考核-2025年\9.结果\[1]所属单位纪委书记、纪检委员（17）'!#REF!,"优秀")</formula>
    </cfRule>
  </conditionalFormatting>
  <conditionalFormatting sqref="L9">
    <cfRule type="expression" dxfId="0" priority="17">
      <formula>COUNTIFS('F:\人力资源部\B-年度综合考核-2025年\9.结果\[1]所属单位纪委书记、纪检委员（17）'!#REF!,L9,'F:\人力资源部\B-年度综合考核-2025年\9.结果\[1]所属单位纪委书记、纪检委员（17）'!#REF!,"优秀")</formula>
    </cfRule>
  </conditionalFormatting>
  <conditionalFormatting sqref="I10">
    <cfRule type="expression" dxfId="0" priority="13">
      <formula>COUNTIFS('F:\人力资源部\B-年度综合考核-2025年\9.结果\[1]所属单位副职+参控股公司及其它副职（89+7）'!#REF!,I10,'F:\人力资源部\B-年度综合考核-2025年\9.结果\[1]所属单位副职+参控股公司及其它副职（89+7）'!#REF!,"优秀")</formula>
    </cfRule>
  </conditionalFormatting>
  <conditionalFormatting sqref="K10">
    <cfRule type="expression" dxfId="0" priority="16">
      <formula>COUNTIFS('F:\人力资源部\B-年度综合考核-2025年\9.结果\[1]所属单位纪委书记、纪检委员（17）'!#REF!,K10,'F:\人力资源部\B-年度综合考核-2025年\9.结果\[1]所属单位纪委书记、纪检委员（17）'!#REF!,"优秀")</formula>
    </cfRule>
  </conditionalFormatting>
  <conditionalFormatting sqref="L10">
    <cfRule type="expression" dxfId="0" priority="14">
      <formula>COUNTIFS('F:\人力资源部\B-年度综合考核-2025年\9.结果\[1]所属单位纪委书记、纪检委员（17）'!#REF!,L10,'F:\人力资源部\B-年度综合考核-2025年\9.结果\[1]所属单位纪委书记、纪检委员（17）'!#REF!,"优秀")</formula>
    </cfRule>
  </conditionalFormatting>
  <conditionalFormatting sqref="I12">
    <cfRule type="expression" dxfId="0" priority="8">
      <formula>COUNTIFS('F:\人力资源部\B-年度综合考核-2025年\9.结果\[1]所属单位副职+参控股公司及其它副职（89+7）'!#REF!,I12,'F:\人力资源部\B-年度综合考核-2025年\9.结果\[1]所属单位副职+参控股公司及其它副职（89+7）'!#REF!,"优秀")</formula>
    </cfRule>
  </conditionalFormatting>
  <conditionalFormatting sqref="J12">
    <cfRule type="expression" dxfId="0" priority="5">
      <formula>COUNTIFS('F:\人力资源部\B-年度综合考核-2025年\9.结果\[1]所属单位副职+参控股公司及其它副职（89+7）'!#REF!,J12,'F:\人力资源部\B-年度综合考核-2025年\9.结果\[1]所属单位副职+参控股公司及其它副职（89+7）'!#REF!,"优秀")</formula>
    </cfRule>
  </conditionalFormatting>
  <conditionalFormatting sqref="K12">
    <cfRule type="expression" dxfId="0" priority="4">
      <formula>COUNTIFS('F:\人力资源部\B-年度综合考核-2025年\9.结果\[1]所属单位副职+参控股公司及其它副职（89+7）'!#REF!,K12,'F:\人力资源部\B-年度综合考核-2025年\9.结果\[1]所属单位副职+参控股公司及其它副职（89+7）'!#REF!,"优秀")</formula>
    </cfRule>
  </conditionalFormatting>
  <conditionalFormatting sqref="L12">
    <cfRule type="expression" dxfId="0" priority="11">
      <formula>COUNTIFS('F:\人力资源部\B-年度综合考核-2025年\9.结果\[1]所属单位纪委书记、纪检委员（17）'!#REF!,L12,'F:\人力资源部\B-年度综合考核-2025年\9.结果\[1]所属单位纪委书记、纪检委员（17）'!#REF!,"优秀")</formula>
    </cfRule>
  </conditionalFormatting>
  <conditionalFormatting sqref="K13">
    <cfRule type="expression" dxfId="0" priority="19">
      <formula>COUNTIFS('F:\人力资源部\B-年度综合考核-2025年\9.结果\[1]所属单位纪委书记、纪检委员（17）'!#REF!,K13,'F:\人力资源部\B-年度综合考核-2025年\9.结果\[1]所属单位纪委书记、纪检委员（17）'!#REF!,"优秀")</formula>
    </cfRule>
  </conditionalFormatting>
  <conditionalFormatting sqref="K14">
    <cfRule type="expression" dxfId="0" priority="18">
      <formula>COUNTIFS('F:\人力资源部\B-年度综合考核-2025年\9.结果\[1]所属单位纪委书记、纪检委员（17）'!#REF!,K14,'F:\人力资源部\B-年度综合考核-2025年\9.结果\[1]所属单位纪委书记、纪检委员（17）'!#REF!,"优秀")</formula>
    </cfRule>
  </conditionalFormatting>
  <conditionalFormatting sqref="L15">
    <cfRule type="expression" dxfId="0" priority="10">
      <formula>COUNTIFS('F:\人力资源部\B-年度综合考核-2025年\9.结果\[1]所属单位副职+参控股公司及其它副职（89+7）'!#REF!,L15,'F:\人力资源部\B-年度综合考核-2025年\9.结果\[1]所属单位副职+参控股公司及其它副职（89+7）'!#REF!,"优秀")</formula>
    </cfRule>
  </conditionalFormatting>
  <conditionalFormatting sqref="I28">
    <cfRule type="expression" dxfId="0" priority="35">
      <formula>COUNTIFS('F:\人力资源部\B-年度综合考核-2025年\9.结果\[1]所属单位副职+参控股公司及其它副职（89+7）'!#REF!,I28,'F:\人力资源部\B-年度综合考核-2025年\9.结果\[1]所属单位副职+参控股公司及其它副职（89+7）'!#REF!,"优秀")</formula>
    </cfRule>
  </conditionalFormatting>
  <conditionalFormatting sqref="K28">
    <cfRule type="expression" dxfId="0" priority="33">
      <formula>COUNTIFS('F:\人力资源部\B-年度综合考核-2025年\9.结果\[1]所属单位纪委书记、纪检委员（17）'!#REF!,K28,'F:\人力资源部\B-年度综合考核-2025年\9.结果\[1]所属单位纪委书记、纪检委员（17）'!#REF!,"优秀")</formula>
    </cfRule>
  </conditionalFormatting>
  <conditionalFormatting sqref="L28">
    <cfRule type="expression" dxfId="0" priority="66">
      <formula>COUNTIFS('F:\人力资源部\B-年度综合考核-2025年\9.结果\[1]所属单位纪委书记、纪检委员（17）'!#REF!,L28,'F:\人力资源部\B-年度综合考核-2025年\9.结果\[1]所属单位纪委书记、纪检委员（17）'!#REF!,"优秀")</formula>
    </cfRule>
  </conditionalFormatting>
  <conditionalFormatting sqref="I29">
    <cfRule type="expression" dxfId="0" priority="28">
      <formula>COUNTIFS('F:\人力资源部\B-年度综合考核-2025年\9.结果\[1]所属单位副职+参控股公司及其它副职（89+7）'!#REF!,I29,'F:\人力资源部\B-年度综合考核-2025年\9.结果\[1]所属单位副职+参控股公司及其它副职（89+7）'!#REF!,"优秀")</formula>
    </cfRule>
  </conditionalFormatting>
  <conditionalFormatting sqref="J29">
    <cfRule type="expression" dxfId="0" priority="27">
      <formula>COUNTIFS('F:\人力资源部\B-年度综合考核-2025年\9.结果\[1]所属单位副职+参控股公司及其它副职（89+7）'!#REF!,J29,'F:\人力资源部\B-年度综合考核-2025年\9.结果\[1]所属单位副职+参控股公司及其它副职（89+7）'!#REF!,"优秀")</formula>
    </cfRule>
  </conditionalFormatting>
  <conditionalFormatting sqref="K29">
    <cfRule type="expression" dxfId="0" priority="26">
      <formula>COUNTIFS('F:\人力资源部\B-年度综合考核-2025年\9.结果\[1]所属单位副职+参控股公司及其它副职（89+7）'!#REF!,K29,'F:\人力资源部\B-年度综合考核-2025年\9.结果\[1]所属单位副职+参控股公司及其它副职（89+7）'!#REF!,"优秀")</formula>
    </cfRule>
  </conditionalFormatting>
  <conditionalFormatting sqref="I30">
    <cfRule type="expression" dxfId="0" priority="70">
      <formula>COUNTIFS('F:\人力资源部\B-年度综合考核-2025年\9.结果\[1]所属单位纪委书记、纪检委员（17）'!#REF!,I30,'F:\人力资源部\B-年度综合考核-2025年\9.结果\[1]所属单位纪委书记、纪检委员（17）'!#REF!,"优秀")</formula>
    </cfRule>
  </conditionalFormatting>
  <conditionalFormatting sqref="K30">
    <cfRule type="expression" dxfId="0" priority="67">
      <formula>COUNTIFS('F:\人力资源部\B-年度综合考核-2025年\9.结果\[1]所属单位纪委书记、纪检委员（17）'!#REF!,K30,'F:\人力资源部\B-年度综合考核-2025年\9.结果\[1]所属单位纪委书记、纪检委员（17）'!#REF!,"优秀")</formula>
    </cfRule>
  </conditionalFormatting>
  <conditionalFormatting sqref="K31">
    <cfRule type="expression" dxfId="0" priority="65">
      <formula>COUNTIFS('F:\人力资源部\B-年度综合考核-2025年\9.结果\[1]所属单位纪委书记、纪检委员（17）'!#REF!,K31,'F:\人力资源部\B-年度综合考核-2025年\9.结果\[1]所属单位纪委书记、纪检委员（17）'!#REF!,"优秀")</formula>
    </cfRule>
  </conditionalFormatting>
  <conditionalFormatting sqref="L31">
    <cfRule type="expression" dxfId="0" priority="59">
      <formula>COUNTIFS('F:\人力资源部\B-年度综合考核-2025年\9.结果\[1]所属单位纪委书记、纪检委员（17）'!#REF!,L31,'F:\人力资源部\B-年度综合考核-2025年\9.结果\[1]所属单位纪委书记、纪检委员（17）'!#REF!,"优秀")</formula>
    </cfRule>
  </conditionalFormatting>
  <conditionalFormatting sqref="I32">
    <cfRule type="expression" dxfId="0" priority="44">
      <formula>COUNTIFS('F:\人力资源部\B-年度综合考核-2025年\9.结果\[1]所属单位副职+参控股公司及其它副职（89+7）'!#REF!,I32,'F:\人力资源部\B-年度综合考核-2025年\9.结果\[1]所属单位副职+参控股公司及其它副职（89+7）'!#REF!,"优秀")</formula>
    </cfRule>
  </conditionalFormatting>
  <conditionalFormatting sqref="K32">
    <cfRule type="expression" dxfId="0" priority="58">
      <formula>COUNTIFS('F:\人力资源部\B-年度综合考核-2025年\9.结果\[1]所属单位纪委书记、纪检委员（17）'!#REF!,K32,'F:\人力资源部\B-年度综合考核-2025年\9.结果\[1]所属单位纪委书记、纪检委员（17）'!#REF!,"优秀")</formula>
    </cfRule>
  </conditionalFormatting>
  <conditionalFormatting sqref="L32">
    <cfRule type="expression" dxfId="0" priority="45">
      <formula>COUNTIFS('F:\人力资源部\B-年度综合考核-2025年\9.结果\[1]所属单位纪委书记、纪检委员（17）'!#REF!,L32,'F:\人力资源部\B-年度综合考核-2025年\9.结果\[1]所属单位纪委书记、纪检委员（17）'!#REF!,"优秀")</formula>
    </cfRule>
  </conditionalFormatting>
  <conditionalFormatting sqref="I33">
    <cfRule type="expression" dxfId="0" priority="43">
      <formula>COUNTIFS('F:\人力资源部\B-年度综合考核-2025年\9.结果\[1]所属单位副职+参控股公司及其它副职（89+7）'!#REF!,I33,'F:\人力资源部\B-年度综合考核-2025年\9.结果\[1]所属单位副职+参控股公司及其它副职（89+7）'!#REF!,"优秀")</formula>
    </cfRule>
  </conditionalFormatting>
  <conditionalFormatting sqref="K33">
    <cfRule type="expression" dxfId="0" priority="52">
      <formula>COUNTIFS('F:\人力资源部\B-年度综合考核-2025年\9.结果\[1]所属单位纪委书记、纪检委员（17）'!#REF!,K33,'F:\人力资源部\B-年度综合考核-2025年\9.结果\[1]所属单位纪委书记、纪检委员（17）'!#REF!,"优秀")</formula>
    </cfRule>
  </conditionalFormatting>
  <conditionalFormatting sqref="I34">
    <cfRule type="expression" dxfId="0" priority="34">
      <formula>COUNTIFS('F:\人力资源部\B-年度综合考核-2025年\9.结果\[1]所属单位副职+参控股公司及其它副职（89+7）'!#REF!,I34,'F:\人力资源部\B-年度综合考核-2025年\9.结果\[1]所属单位副职+参控股公司及其它副职（89+7）'!#REF!,"优秀")</formula>
    </cfRule>
  </conditionalFormatting>
  <conditionalFormatting sqref="J34">
    <cfRule type="expression" dxfId="0" priority="30">
      <formula>COUNTIFS('F:\人力资源部\B-年度综合考核-2025年\9.结果\[1]所属单位副职+参控股公司及其它副职（89+7）'!#REF!,J34,'F:\人力资源部\B-年度综合考核-2025年\9.结果\[1]所属单位副职+参控股公司及其它副职（89+7）'!#REF!,"优秀")</formula>
    </cfRule>
  </conditionalFormatting>
  <conditionalFormatting sqref="K34">
    <cfRule type="expression" dxfId="0" priority="29">
      <formula>COUNTIFS('F:\人力资源部\B-年度综合考核-2025年\9.结果\[1]所属单位副职+参控股公司及其它副职（89+7）'!#REF!,K34,'F:\人力资源部\B-年度综合考核-2025年\9.结果\[1]所属单位副职+参控股公司及其它副职（89+7）'!#REF!,"优秀")</formula>
    </cfRule>
  </conditionalFormatting>
  <conditionalFormatting sqref="L34">
    <cfRule type="expression" dxfId="0" priority="41">
      <formula>COUNTIFS('F:\人力资源部\B-年度综合考核-2025年\9.结果\[1]所属单位纪委书记、纪检委员（17）'!#REF!,L34,'F:\人力资源部\B-年度综合考核-2025年\9.结果\[1]所属单位纪委书记、纪检委员（17）'!#REF!,"优秀")</formula>
    </cfRule>
  </conditionalFormatting>
  <conditionalFormatting sqref="K35">
    <cfRule type="expression" dxfId="0" priority="63">
      <formula>COUNTIFS('F:\人力资源部\B-年度综合考核-2025年\9.结果\[1]所属单位纪委书记、纪检委员（17）'!#REF!,K35,'F:\人力资源部\B-年度综合考核-2025年\9.结果\[1]所属单位纪委书记、纪检委员（17）'!#REF!,"优秀")</formula>
    </cfRule>
  </conditionalFormatting>
  <conditionalFormatting sqref="K36">
    <cfRule type="expression" dxfId="0" priority="62">
      <formula>COUNTIFS('F:\人力资源部\B-年度综合考核-2025年\9.结果\[1]所属单位纪委书记、纪检委员（17）'!#REF!,K36,'F:\人力资源部\B-年度综合考核-2025年\9.结果\[1]所属单位纪委书记、纪检委员（17）'!#REF!,"优秀")</formula>
    </cfRule>
  </conditionalFormatting>
  <conditionalFormatting sqref="L37">
    <cfRule type="expression" dxfId="0" priority="40">
      <formula>COUNTIFS('F:\人力资源部\B-年度综合考核-2025年\9.结果\[1]所属单位副职+参控股公司及其它副职（89+7）'!#REF!,L37,'F:\人力资源部\B-年度综合考核-2025年\9.结果\[1]所属单位副职+参控股公司及其它副职（89+7）'!#REF!,"优秀")</formula>
    </cfRule>
  </conditionalFormatting>
  <conditionalFormatting sqref="I40">
    <cfRule type="expression" dxfId="0" priority="69">
      <formula>COUNTIFS('F:\人力资源部\B-年度综合考核-2025年\9.结果\[1]所属单位纪委书记、纪检委员（17）'!#REF!,I40,'F:\人力资源部\B-年度综合考核-2025年\9.结果\[1]所属单位纪委书记、纪检委员（17）'!#REF!,"优秀")</formula>
    </cfRule>
  </conditionalFormatting>
  <conditionalFormatting sqref="K40">
    <cfRule type="expression" dxfId="0" priority="57">
      <formula>COUNTIFS('F:\人力资源部\B-年度综合考核-2025年\9.结果\[1]所属单位纪委书记、纪检委员（17）'!#REF!,K40,'F:\人力资源部\B-年度综合考核-2025年\9.结果\[1]所属单位纪委书记、纪检委员（17）'!#REF!,"优秀")</formula>
    </cfRule>
  </conditionalFormatting>
  <conditionalFormatting sqref="I41">
    <cfRule type="expression" dxfId="0" priority="56">
      <formula>COUNTIFS('F:\人力资源部\B-年度综合考核-2025年\9.结果\[1]所属单位纪委书记、纪检委员（17）'!#REF!,I41,'F:\人力资源部\B-年度综合考核-2025年\9.结果\[1]所属单位纪委书记、纪检委员（17）'!#REF!,"优秀")</formula>
    </cfRule>
  </conditionalFormatting>
  <conditionalFormatting sqref="K41">
    <cfRule type="expression" dxfId="0" priority="55">
      <formula>COUNTIFS('F:\人力资源部\B-年度综合考核-2025年\9.结果\[1]所属单位纪委书记、纪检委员（17）'!#REF!,K41,'F:\人力资源部\B-年度综合考核-2025年\9.结果\[1]所属单位纪委书记、纪检委员（17）'!#REF!,"优秀")</formula>
    </cfRule>
  </conditionalFormatting>
  <conditionalFormatting sqref="I42">
    <cfRule type="expression" dxfId="1" priority="80">
      <formula>COUNTIFS('F:\人力资源部\B-年度综合考核-2025年\9.结果\[1]所属单位正职+参控股公司及其它正职（31+7）'!#REF!,I42,'F:\人力资源部\B-年度综合考核-2025年\9.结果\[1]所属单位正职+参控股公司及其它正职（31+7）'!#REF!,"优秀")</formula>
    </cfRule>
  </conditionalFormatting>
  <conditionalFormatting sqref="J42">
    <cfRule type="expression" dxfId="0" priority="79">
      <formula>COUNTIFS('F:\人力资源部\B-年度综合考核-2025年\9.结果\[1]所属单位正职+参控股公司及其它正职（31+7）'!#REF!,J42,'F:\人力资源部\B-年度综合考核-2025年\9.结果\[1]所属单位正职+参控股公司及其它正职（31+7）'!#REF!,"优秀")</formula>
    </cfRule>
  </conditionalFormatting>
  <conditionalFormatting sqref="L42">
    <cfRule type="expression" dxfId="0" priority="54">
      <formula>COUNTIFS('F:\人力资源部\B-年度综合考核-2025年\9.结果\[1]所属单位纪委书记、纪检委员（17）'!#REF!,L42,'F:\人力资源部\B-年度综合考核-2025年\9.结果\[1]所属单位纪委书记、纪检委员（17）'!#REF!,"优秀")</formula>
    </cfRule>
  </conditionalFormatting>
  <conditionalFormatting sqref="I43">
    <cfRule type="expression" dxfId="1" priority="100">
      <formula>COUNTIFS('F:\人力资源部\B-年度综合考核-2025年\9.结果\[1]所属单位正职+参控股公司及其它正职（31+7）'!#REF!,I43,'F:\人力资源部\B-年度综合考核-2025年\9.结果\[1]所属单位正职+参控股公司及其它正职（31+7）'!#REF!,"优秀")</formula>
    </cfRule>
  </conditionalFormatting>
  <conditionalFormatting sqref="K43">
    <cfRule type="expression" dxfId="0" priority="50">
      <formula>COUNTIFS('F:\人力资源部\B-年度综合考核-2025年\9.结果\[1]所属单位纪委书记、纪检委员（17）'!#REF!,K43,'F:\人力资源部\B-年度综合考核-2025年\9.结果\[1]所属单位纪委书记、纪检委员（17）'!#REF!,"优秀")</formula>
    </cfRule>
  </conditionalFormatting>
  <conditionalFormatting sqref="I44">
    <cfRule type="expression" dxfId="0" priority="75">
      <formula>COUNTIFS('F:\人力资源部\B-年度综合考核-2025年\9.结果\[1]所属单位正职+参控股公司及其它正职（31+7）'!#REF!,I44,'F:\人力资源部\B-年度综合考核-2025年\9.结果\[1]所属单位正职+参控股公司及其它正职（31+7）'!#REF!,"优秀")</formula>
    </cfRule>
  </conditionalFormatting>
  <conditionalFormatting sqref="I46">
    <cfRule type="expression" dxfId="0" priority="53">
      <formula>COUNTIFS('F:\人力资源部\B-年度综合考核-2025年\9.结果\[1]所属单位纪委书记、纪检委员（17）'!#REF!,I46,'F:\人力资源部\B-年度综合考核-2025年\9.结果\[1]所属单位纪委书记、纪检委员（17）'!#REF!,"优秀")</formula>
    </cfRule>
  </conditionalFormatting>
  <conditionalFormatting sqref="K46">
    <cfRule type="expression" dxfId="0" priority="39">
      <formula>COUNTIFS('F:\人力资源部\B-年度综合考核-2025年\9.结果\[1]所属单位纪委书记、纪检委员（17）'!#REF!,K46,'F:\人力资源部\B-年度综合考核-2025年\9.结果\[1]所属单位纪委书记、纪检委员（17）'!#REF!,"优秀")</formula>
    </cfRule>
  </conditionalFormatting>
  <conditionalFormatting sqref="K47">
    <cfRule type="expression" dxfId="0" priority="61">
      <formula>COUNTIFS('F:\人力资源部\B-年度综合考核-2025年\9.结果\[1]所属单位纪委书记、纪检委员（17）'!#REF!,K47,'F:\人力资源部\B-年度综合考核-2025年\9.结果\[1]所属单位纪委书记、纪检委员（17）'!#REF!,"优秀")</formula>
    </cfRule>
  </conditionalFormatting>
  <conditionalFormatting sqref="K48">
    <cfRule type="expression" dxfId="0" priority="38">
      <formula>COUNTIFS('F:\人力资源部\B-年度综合考核-2025年\9.结果\[1]所属单位副职+参控股公司及其它副职（89+7）'!#REF!,K48,'F:\人力资源部\B-年度综合考核-2025年\9.结果\[1]所属单位副职+参控股公司及其它副职（89+7）'!#REF!,"优秀")</formula>
    </cfRule>
  </conditionalFormatting>
  <conditionalFormatting sqref="K49">
    <cfRule type="expression" dxfId="0" priority="36">
      <formula>COUNTIFS('F:\人力资源部\B-年度综合考核-2025年\9.结果\[1]所属单位副职+参控股公司及其它副职（89+7）'!#REF!,K49,'F:\人力资源部\B-年度综合考核-2025年\9.结果\[1]所属单位副职+参控股公司及其它副职（89+7）'!#REF!,"优秀")</formula>
    </cfRule>
  </conditionalFormatting>
  <conditionalFormatting sqref="K52">
    <cfRule type="expression" dxfId="0" priority="60">
      <formula>COUNTIFS('F:\人力资源部\B-年度综合考核-2025年\9.结果\[1]所属单位纪委书记、纪检委员（17）'!#REF!,K52,'F:\人力资源部\B-年度综合考核-2025年\9.结果\[1]所属单位纪委书记、纪检委员（17）'!#REF!,"优秀")</formula>
    </cfRule>
  </conditionalFormatting>
  <conditionalFormatting sqref="K53">
    <cfRule type="expression" dxfId="0" priority="37">
      <formula>COUNTIFS('F:\人力资源部\B-年度综合考核-2025年\9.结果\[1]所属单位副职+参控股公司及其它副职（89+7）'!#REF!,K53,'F:\人力资源部\B-年度综合考核-2025年\9.结果\[1]所属单位副职+参控股公司及其它副职（89+7）'!#REF!,"优秀")</formula>
    </cfRule>
  </conditionalFormatting>
  <conditionalFormatting sqref="L54">
    <cfRule type="expression" dxfId="0" priority="48">
      <formula>COUNTIFS('F:\人力资源部\B-年度综合考核-2025年\9.结果\[1]所属单位副职+参控股公司及其它副职（89+7）'!#REF!,L54,'F:\人力资源部\B-年度综合考核-2025年\9.结果\[1]所属单位副职+参控股公司及其它副职（89+7）'!#REF!,"优秀")</formula>
    </cfRule>
  </conditionalFormatting>
  <conditionalFormatting sqref="I56">
    <cfRule type="expression" dxfId="0" priority="68">
      <formula>COUNTIFS('F:\人力资源部\B-年度综合考核-2025年\9.结果\[1]所属单位纪委书记、纪检委员（17）'!#REF!,I56,'F:\人力资源部\B-年度综合考核-2025年\9.结果\[1]所属单位纪委书记、纪检委员（17）'!#REF!,"优秀")</formula>
    </cfRule>
  </conditionalFormatting>
  <conditionalFormatting sqref="I57">
    <cfRule type="expression" dxfId="0" priority="31">
      <formula>COUNTIFS('F:\人力资源部\B-年度综合考核-2025年\9.结果\[1]所属单位副职+参控股公司及其它副职（89+7）'!#REF!,I57,'F:\人力资源部\B-年度综合考核-2025年\9.结果\[1]所属单位副职+参控股公司及其它副职（89+7）'!#REF!,"优秀")</formula>
    </cfRule>
  </conditionalFormatting>
  <conditionalFormatting sqref="L57">
    <cfRule type="expression" dxfId="0" priority="51">
      <formula>COUNTIFS('F:\人力资源部\B-年度综合考核-2025年\9.结果\[1]所属单位纪委书记、纪检委员（17）'!#REF!,L57,'F:\人力资源部\B-年度综合考核-2025年\9.结果\[1]所属单位纪委书记、纪检委员（17）'!#REF!,"优秀")</formula>
    </cfRule>
  </conditionalFormatting>
  <conditionalFormatting sqref="I58">
    <cfRule type="expression" dxfId="0" priority="47">
      <formula>COUNTIFS('F:\人力资源部\B-年度综合考核-2025年\9.结果\[1]所属单位纪委书记、纪检委员（17）'!#REF!,I58,'F:\人力资源部\B-年度综合考核-2025年\9.结果\[1]所属单位纪委书记、纪检委员（17）'!#REF!,"优秀")</formula>
    </cfRule>
  </conditionalFormatting>
  <conditionalFormatting sqref="K58">
    <cfRule type="expression" dxfId="0" priority="46">
      <formula>COUNTIFS('F:\人力资源部\B-年度综合考核-2025年\9.结果\[1]所属单位副职+参控股公司及其它副职（89+7）'!#REF!,K58,'F:\人力资源部\B-年度综合考核-2025年\9.结果\[1]所属单位副职+参控股公司及其它副职（89+7）'!#REF!,"优秀")</formula>
    </cfRule>
  </conditionalFormatting>
  <conditionalFormatting sqref="K59">
    <cfRule type="expression" dxfId="0" priority="76">
      <formula>COUNTIFS('F:\人力资源部\B-年度综合考核-2025年\9.结果\[1]所属单位正职+参控股公司及其它正职（31+7）'!#REF!,K59,'F:\人力资源部\B-年度综合考核-2025年\9.结果\[1]所属单位正职+参控股公司及其它正职（31+7）'!#REF!,"优秀")</formula>
    </cfRule>
  </conditionalFormatting>
  <conditionalFormatting sqref="K64">
    <cfRule type="expression" dxfId="0" priority="49">
      <formula>COUNTIFS('F:\人力资源部\B-年度综合考核-2025年\9.结果\[1]所属单位副职+参控股公司及其它副职（89+7）'!#REF!,K64,'F:\人力资源部\B-年度综合考核-2025年\9.结果\[1]所属单位副职+参控股公司及其它副职（89+7）'!#REF!,"优秀")</formula>
    </cfRule>
  </conditionalFormatting>
  <conditionalFormatting sqref="I47:I49">
    <cfRule type="expression" dxfId="1" priority="96">
      <formula>COUNTIFS('F:\人力资源部\B-年度综合考核-2025年\9.结果\[1]所属单位正职+参控股公司及其它正职（31+7）'!#REF!,I47,'F:\人力资源部\B-年度综合考核-2025年\9.结果\[1]所属单位正职+参控股公司及其它正职（31+7）'!#REF!,"优秀")</formula>
    </cfRule>
  </conditionalFormatting>
  <conditionalFormatting sqref="I51:I54">
    <cfRule type="expression" dxfId="1" priority="92">
      <formula>COUNTIFS('F:\人力资源部\B-年度综合考核-2025年\9.结果\[1]所属单位正职+参控股公司及其它正职（31+7）'!#REF!,I51,'F:\人力资源部\B-年度综合考核-2025年\9.结果\[1]所属单位正职+参控股公司及其它正职（31+7）'!#REF!,"优秀")</formula>
    </cfRule>
  </conditionalFormatting>
  <conditionalFormatting sqref="I59:I60">
    <cfRule type="expression" dxfId="1" priority="88">
      <formula>COUNTIFS('F:\人力资源部\B-年度综合考核-2025年\9.结果\[1]所属单位正职+参控股公司及其它正职（31+7）'!#REF!,I59,'F:\人力资源部\B-年度综合考核-2025年\9.结果\[1]所属单位正职+参控股公司及其它正职（31+7）'!#REF!,"优秀")</formula>
    </cfRule>
  </conditionalFormatting>
  <conditionalFormatting sqref="I62:I66">
    <cfRule type="expression" dxfId="1" priority="84">
      <formula>COUNTIFS('F:\人力资源部\B-年度综合考核-2025年\9.结果\[1]所属单位正职+参控股公司及其它正职（31+7）'!#REF!,I62,'F:\人力资源部\B-年度综合考核-2025年\9.结果\[1]所属单位正职+参控股公司及其它正职（31+7）'!#REF!,"优秀")</formula>
    </cfRule>
  </conditionalFormatting>
  <conditionalFormatting sqref="J46:J49">
    <cfRule type="expression" dxfId="0" priority="95">
      <formula>COUNTIFS('F:\人力资源部\B-年度综合考核-2025年\9.结果\[1]所属单位正职+参控股公司及其它正职（31+7）'!#REF!,J46,'F:\人力资源部\B-年度综合考核-2025年\9.结果\[1]所属单位正职+参控股公司及其它正职（31+7）'!#REF!,"优秀")</formula>
    </cfRule>
  </conditionalFormatting>
  <conditionalFormatting sqref="J51:J54">
    <cfRule type="expression" dxfId="0" priority="91">
      <formula>COUNTIFS('F:\人力资源部\B-年度综合考核-2025年\9.结果\[1]所属单位正职+参控股公司及其它正职（31+7）'!#REF!,J51,'F:\人力资源部\B-年度综合考核-2025年\9.结果\[1]所属单位正职+参控股公司及其它正职（31+7）'!#REF!,"优秀")</formula>
    </cfRule>
  </conditionalFormatting>
  <conditionalFormatting sqref="J56:J60">
    <cfRule type="expression" dxfId="0" priority="87">
      <formula>COUNTIFS('F:\人力资源部\B-年度综合考核-2025年\9.结果\[1]所属单位正职+参控股公司及其它正职（31+7）'!#REF!,J56,'F:\人力资源部\B-年度综合考核-2025年\9.结果\[1]所属单位正职+参控股公司及其它正职（31+7）'!#REF!,"优秀")</formula>
    </cfRule>
  </conditionalFormatting>
  <conditionalFormatting sqref="J64:J66">
    <cfRule type="expression" dxfId="0" priority="73">
      <formula>COUNTIFS('F:\人力资源部\B-年度综合考核-2025年\9.结果\[1]所属单位正职+参控股公司及其它正职（31+7）'!#REF!,J64,'F:\人力资源部\B-年度综合考核-2025年\9.结果\[1]所属单位正职+参控股公司及其它正职（31+7）'!#REF!,"优秀")</formula>
    </cfRule>
  </conditionalFormatting>
  <conditionalFormatting sqref="J6 J8:J10 J13:J15 J17:J20">
    <cfRule type="expression" dxfId="0" priority="6">
      <formula>COUNTIFS('F:\人力资源部\B-年度综合考核-2025年\9.结果\[1]所属单位纪委书记、纪检委员（17）'!#REF!,J6,'F:\人力资源部\B-年度综合考核-2025年\9.结果\[1]所属单位纪委书记、纪检委员（17）'!#REF!,"优秀")</formula>
    </cfRule>
  </conditionalFormatting>
  <conditionalFormatting sqref="M6:N6 L7:N8 M9:N10 M12:N12 L13:N14 K15 M15:N15 O6:T10 O12:T15 K17:T20">
    <cfRule type="expression" dxfId="0" priority="24">
      <formula>COUNTIFS('F:\人力资源部\B-年度综合考核-2025年\9.结果\[1]所属单位副职+参控股公司及其它副职（89+7）'!#REF!,K6,'F:\人力资源部\B-年度综合考核-2025年\9.结果\[1]所属单位副职+参控股公司及其它副职（89+7）'!#REF!,"优秀")</formula>
    </cfRule>
  </conditionalFormatting>
  <conditionalFormatting sqref="I9 I13:I15 I17:I20">
    <cfRule type="expression" dxfId="1" priority="25">
      <formula>COUNTIFS('F:\人力资源部\B-年度综合考核-2025年\9.结果\[1]所属单位正职+参控股公司及其它正职（31+7）'!#REF!,I9,'F:\人力资源部\B-年度综合考核-2025年\9.结果\[1]所属单位正职+参控股公司及其它正职（31+7）'!#REF!,"优秀")</formula>
    </cfRule>
  </conditionalFormatting>
  <conditionalFormatting sqref="J28 J30:J33 J35:J38">
    <cfRule type="expression" dxfId="0" priority="32">
      <formula>COUNTIFS('F:\人力资源部\B-年度综合考核-2025年\9.结果\[1]所属单位纪委书记、纪检委员（17）'!#REF!,J28,'F:\人力资源部\B-年度综合考核-2025年\9.结果\[1]所属单位纪委书记、纪检委员（17）'!#REF!,"优秀")</formula>
    </cfRule>
  </conditionalFormatting>
  <conditionalFormatting sqref="M28:N28 L29:N30 M31:N32 L33:N33 M34:N34 L35:N36 K37 M37:N37 K38:N38 O28:T38">
    <cfRule type="expression" dxfId="0" priority="102">
      <formula>COUNTIFS('F:\人力资源部\B-年度综合考核-2025年\9.结果\[1]所属单位副职+参控股公司及其它副职（89+7）'!#REF!,K28,'F:\人力资源部\B-年度综合考核-2025年\9.结果\[1]所属单位副职+参控股公司及其它副职（89+7）'!#REF!,"优秀")</formula>
    </cfRule>
  </conditionalFormatting>
  <conditionalFormatting sqref="I31 I35:I38">
    <cfRule type="expression" dxfId="1" priority="104">
      <formula>COUNTIFS('F:\人力资源部\B-年度综合考核-2025年\9.结果\[1]所属单位正职+参控股公司及其它正职（31+7）'!#REF!,I31,'F:\人力资源部\B-年度综合考核-2025年\9.结果\[1]所属单位正职+参控股公司及其它正职（31+7）'!#REF!,"优秀")</formula>
    </cfRule>
  </conditionalFormatting>
  <conditionalFormatting sqref="J40:J41 J43:J44">
    <cfRule type="expression" dxfId="0" priority="99">
      <formula>COUNTIFS('F:\人力资源部\B-年度综合考核-2025年\9.结果\[1]所属单位正职+参控股公司及其它正职（31+7）'!#REF!,J40,'F:\人力资源部\B-年度综合考核-2025年\9.结果\[1]所属单位正职+参控股公司及其它正职（31+7）'!#REF!,"优秀")</formula>
    </cfRule>
  </conditionalFormatting>
  <conditionalFormatting sqref="L40:T41 L43:N43 K44:N44 O43:T44">
    <cfRule type="expression" dxfId="0" priority="98">
      <formula>COUNTIFS('F:\人力资源部\B-年度综合考核-2025年\9.结果\[1]所属单位副职+参控股公司及其它副职（89+7）'!#REF!,K40,'F:\人力资源部\B-年度综合考核-2025年\9.结果\[1]所属单位副职+参控股公司及其它副职（89+7）'!#REF!,"优秀")</formula>
    </cfRule>
  </conditionalFormatting>
  <conditionalFormatting sqref="K42 M42:T42">
    <cfRule type="expression" dxfId="0" priority="78">
      <formula>COUNTIFS('F:\人力资源部\B-年度综合考核-2025年\9.结果\[1]所属单位副职+参控股公司及其它副职（89+7）'!#REF!,K42,'F:\人力资源部\B-年度综合考核-2025年\9.结果\[1]所属单位副职+参控股公司及其它副职（89+7）'!#REF!,"优秀")</formula>
    </cfRule>
  </conditionalFormatting>
  <conditionalFormatting sqref="L46:T49">
    <cfRule type="expression" dxfId="0" priority="94">
      <formula>COUNTIFS('F:\人力资源部\B-年度综合考核-2025年\9.结果\[1]所属单位副职+参控股公司及其它副职（89+7）'!#REF!,L46,'F:\人力资源部\B-年度综合考核-2025年\9.结果\[1]所属单位副职+参控股公司及其它副职（89+7）'!#REF!,"优秀")</formula>
    </cfRule>
  </conditionalFormatting>
  <conditionalFormatting sqref="K51:N51 L52:N53 K54 M54:N54 O51:T54">
    <cfRule type="expression" dxfId="0" priority="90">
      <formula>COUNTIFS('F:\人力资源部\B-年度综合考核-2025年\9.结果\[1]所属单位副职+参控股公司及其它副职（89+7）'!#REF!,K51,'F:\人力资源部\B-年度综合考核-2025年\9.结果\[1]所属单位副职+参控股公司及其它副职（89+7）'!#REF!,"优秀")</formula>
    </cfRule>
  </conditionalFormatting>
  <conditionalFormatting sqref="K56:N56 K57 M57:N57 L58:N59 K60:N60 O56:T60">
    <cfRule type="expression" dxfId="0" priority="86">
      <formula>COUNTIFS('F:\人力资源部\B-年度综合考核-2025年\9.结果\[1]所属单位副职+参控股公司及其它副职（89+7）'!#REF!,K56,'F:\人力资源部\B-年度综合考核-2025年\9.结果\[1]所属单位副职+参控股公司及其它副职（89+7）'!#REF!,"优秀")</formula>
    </cfRule>
  </conditionalFormatting>
  <conditionalFormatting sqref="J62:N63 L64:N64 K65:N66 O62:T66">
    <cfRule type="expression" dxfId="0" priority="83">
      <formula>COUNTIFS('F:\人力资源部\B-年度综合考核-2025年\9.结果\[1]所属单位副职+参控股公司及其它副职（89+7）'!#REF!,J62,'F:\人力资源部\B-年度综合考核-2025年\9.结果\[1]所属单位副职+参控股公司及其它副职（89+7）'!#REF!,"优秀")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397"/>
  <sheetViews>
    <sheetView view="pageBreakPreview" zoomScale="115" zoomScaleNormal="100" workbookViewId="0">
      <pane ySplit="2" topLeftCell="A378" activePane="bottomLeft" state="frozen"/>
      <selection/>
      <selection pane="bottomLeft" activeCell="B392" sqref="B392:B394"/>
    </sheetView>
  </sheetViews>
  <sheetFormatPr defaultColWidth="9" defaultRowHeight="14.25" outlineLevelCol="5"/>
  <cols>
    <col min="1" max="1" width="3.625" style="18" customWidth="1"/>
    <col min="2" max="2" width="26" style="19" customWidth="1"/>
    <col min="3" max="3" width="5.5" style="18" customWidth="1"/>
    <col min="4" max="4" width="37.5" style="20" customWidth="1"/>
    <col min="5" max="5" width="5.875" style="18" customWidth="1"/>
    <col min="6" max="6" width="9" style="15"/>
    <col min="7" max="16384" width="9" style="11"/>
  </cols>
  <sheetData>
    <row r="1" s="11" customFormat="1" ht="23" customHeight="1" spans="1:6">
      <c r="A1" s="21"/>
      <c r="B1" s="22"/>
      <c r="C1" s="21"/>
      <c r="D1" s="23"/>
      <c r="E1" s="21"/>
      <c r="F1" s="15"/>
    </row>
    <row r="2" s="12" customFormat="1" ht="34" customHeight="1" spans="1:6">
      <c r="A2" s="24" t="s">
        <v>1</v>
      </c>
      <c r="B2" s="25" t="s">
        <v>112</v>
      </c>
      <c r="C2" s="26" t="s">
        <v>113</v>
      </c>
      <c r="D2" s="26" t="s">
        <v>114</v>
      </c>
      <c r="E2" s="27" t="s">
        <v>115</v>
      </c>
      <c r="F2" s="28" t="s">
        <v>116</v>
      </c>
    </row>
    <row r="3" s="11" customFormat="1" ht="25" customHeight="1" spans="1:6">
      <c r="A3" s="19">
        <v>217</v>
      </c>
      <c r="B3" s="29" t="s">
        <v>43</v>
      </c>
      <c r="C3" s="30"/>
      <c r="D3" s="31"/>
      <c r="E3" s="32" t="s">
        <v>117</v>
      </c>
      <c r="F3" s="15"/>
    </row>
    <row r="4" s="11" customFormat="1" spans="1:6">
      <c r="A4" s="19">
        <v>218</v>
      </c>
      <c r="B4" s="29"/>
      <c r="C4" s="19"/>
      <c r="D4" s="31"/>
      <c r="E4" s="32" t="s">
        <v>117</v>
      </c>
      <c r="F4" s="15"/>
    </row>
    <row r="5" s="11" customFormat="1" spans="1:6">
      <c r="A5" s="19">
        <v>219</v>
      </c>
      <c r="B5" s="29"/>
      <c r="C5" s="19"/>
      <c r="D5" s="31"/>
      <c r="E5" s="32" t="s">
        <v>117</v>
      </c>
      <c r="F5" s="15"/>
    </row>
    <row r="6" s="11" customFormat="1" spans="1:6">
      <c r="A6" s="19">
        <v>220</v>
      </c>
      <c r="B6" s="29"/>
      <c r="C6" s="19"/>
      <c r="D6" s="31"/>
      <c r="E6" s="32" t="s">
        <v>117</v>
      </c>
      <c r="F6" s="15"/>
    </row>
    <row r="7" s="11" customFormat="1" spans="1:6">
      <c r="A7" s="19">
        <v>398</v>
      </c>
      <c r="B7" s="29"/>
      <c r="C7" s="32"/>
      <c r="D7" s="31"/>
      <c r="E7" s="33" t="s">
        <v>118</v>
      </c>
      <c r="F7" s="15"/>
    </row>
    <row r="8" s="13" customFormat="1" ht="12" spans="1:6">
      <c r="A8" s="19">
        <v>399</v>
      </c>
      <c r="B8" s="29"/>
      <c r="C8" s="32"/>
      <c r="D8" s="31"/>
      <c r="E8" s="33" t="s">
        <v>118</v>
      </c>
      <c r="F8" s="15"/>
    </row>
    <row r="9" s="14" customFormat="1" spans="1:6">
      <c r="A9" s="19">
        <v>400</v>
      </c>
      <c r="B9" s="29"/>
      <c r="C9" s="32"/>
      <c r="D9" s="31"/>
      <c r="E9" s="33" t="s">
        <v>118</v>
      </c>
      <c r="F9" s="34"/>
    </row>
    <row r="10" s="11" customFormat="1" ht="37" customHeight="1" spans="1:6">
      <c r="A10" s="19">
        <v>401</v>
      </c>
      <c r="B10" s="29"/>
      <c r="C10" s="19"/>
      <c r="D10" s="31"/>
      <c r="E10" s="32" t="s">
        <v>118</v>
      </c>
      <c r="F10" s="15"/>
    </row>
    <row r="11" s="14" customFormat="1" spans="1:6">
      <c r="A11" s="19">
        <v>221</v>
      </c>
      <c r="B11" s="29" t="s">
        <v>119</v>
      </c>
      <c r="C11" s="19"/>
      <c r="D11" s="31"/>
      <c r="E11" s="32" t="s">
        <v>117</v>
      </c>
      <c r="F11" s="34"/>
    </row>
    <row r="12" s="15" customFormat="1" ht="11.25" spans="1:5">
      <c r="A12" s="19">
        <v>222</v>
      </c>
      <c r="B12" s="29"/>
      <c r="C12" s="32"/>
      <c r="D12" s="31"/>
      <c r="E12" s="32" t="s">
        <v>117</v>
      </c>
    </row>
    <row r="13" s="11" customFormat="1" ht="35" customHeight="1" spans="1:6">
      <c r="A13" s="19">
        <v>402</v>
      </c>
      <c r="B13" s="29"/>
      <c r="C13" s="19"/>
      <c r="D13" s="31"/>
      <c r="E13" s="32" t="s">
        <v>118</v>
      </c>
      <c r="F13" s="15"/>
    </row>
    <row r="14" s="15" customFormat="1" ht="25" customHeight="1" spans="1:5">
      <c r="A14" s="19">
        <v>403</v>
      </c>
      <c r="B14" s="29"/>
      <c r="C14" s="19"/>
      <c r="D14" s="31"/>
      <c r="E14" s="32" t="s">
        <v>118</v>
      </c>
    </row>
    <row r="15" s="15" customFormat="1" ht="36" customHeight="1" spans="1:5">
      <c r="A15" s="19">
        <v>404</v>
      </c>
      <c r="B15" s="29"/>
      <c r="C15" s="19"/>
      <c r="D15" s="31"/>
      <c r="E15" s="32" t="s">
        <v>118</v>
      </c>
    </row>
    <row r="16" s="11" customFormat="1" ht="34" customHeight="1" spans="1:6">
      <c r="A16" s="19">
        <v>438</v>
      </c>
      <c r="B16" s="29"/>
      <c r="C16" s="30"/>
      <c r="D16" s="31"/>
      <c r="E16" s="32" t="s">
        <v>118</v>
      </c>
      <c r="F16" s="15"/>
    </row>
    <row r="17" s="13" customFormat="1" ht="12" spans="1:6">
      <c r="A17" s="19">
        <v>439</v>
      </c>
      <c r="B17" s="29"/>
      <c r="C17" s="19"/>
      <c r="D17" s="31"/>
      <c r="E17" s="32" t="s">
        <v>118</v>
      </c>
      <c r="F17" s="15"/>
    </row>
    <row r="18" s="13" customFormat="1" ht="27" customHeight="1" spans="1:6">
      <c r="A18" s="19">
        <v>223</v>
      </c>
      <c r="B18" s="35" t="s">
        <v>120</v>
      </c>
      <c r="C18" s="19"/>
      <c r="D18" s="31"/>
      <c r="E18" s="19" t="s">
        <v>117</v>
      </c>
      <c r="F18" s="15"/>
    </row>
    <row r="19" s="11" customFormat="1" ht="27" customHeight="1" spans="1:6">
      <c r="A19" s="19">
        <v>405</v>
      </c>
      <c r="B19" s="36"/>
      <c r="C19" s="32"/>
      <c r="D19" s="31"/>
      <c r="E19" s="32" t="s">
        <v>118</v>
      </c>
      <c r="F19" s="15"/>
    </row>
    <row r="20" s="15" customFormat="1" ht="11.25" spans="1:5">
      <c r="A20" s="19">
        <v>406</v>
      </c>
      <c r="B20" s="36"/>
      <c r="C20" s="32"/>
      <c r="D20" s="31"/>
      <c r="E20" s="32" t="s">
        <v>118</v>
      </c>
    </row>
    <row r="21" s="11" customFormat="1" spans="1:6">
      <c r="A21" s="19">
        <v>259</v>
      </c>
      <c r="B21" s="36"/>
      <c r="C21" s="30"/>
      <c r="D21" s="31"/>
      <c r="E21" s="32" t="s">
        <v>117</v>
      </c>
      <c r="F21" s="15"/>
    </row>
    <row r="22" s="11" customFormat="1" spans="1:6">
      <c r="A22" s="19">
        <v>260</v>
      </c>
      <c r="B22" s="36"/>
      <c r="C22" s="37"/>
      <c r="D22" s="38"/>
      <c r="E22" s="32" t="s">
        <v>117</v>
      </c>
      <c r="F22" s="15"/>
    </row>
    <row r="23" s="11" customFormat="1" spans="1:6">
      <c r="A23" s="19">
        <v>261</v>
      </c>
      <c r="B23" s="36"/>
      <c r="C23" s="19"/>
      <c r="D23" s="31"/>
      <c r="E23" s="19" t="s">
        <v>117</v>
      </c>
      <c r="F23" s="15"/>
    </row>
    <row r="24" s="15" customFormat="1" ht="26" customHeight="1" spans="1:5">
      <c r="A24" s="19">
        <v>262</v>
      </c>
      <c r="B24" s="36"/>
      <c r="C24" s="32"/>
      <c r="D24" s="31"/>
      <c r="E24" s="32" t="s">
        <v>117</v>
      </c>
    </row>
    <row r="25" s="15" customFormat="1" ht="26" customHeight="1" spans="1:5">
      <c r="A25" s="19">
        <v>466</v>
      </c>
      <c r="B25" s="36"/>
      <c r="C25" s="32"/>
      <c r="D25" s="31"/>
      <c r="E25" s="32" t="s">
        <v>118</v>
      </c>
    </row>
    <row r="26" s="15" customFormat="1" ht="11.25" spans="1:5">
      <c r="A26" s="19">
        <v>467</v>
      </c>
      <c r="B26" s="39"/>
      <c r="C26" s="32"/>
      <c r="D26" s="31"/>
      <c r="E26" s="32" t="s">
        <v>118</v>
      </c>
    </row>
    <row r="27" s="13" customFormat="1" ht="35" customHeight="1" spans="1:6">
      <c r="A27" s="19">
        <v>224</v>
      </c>
      <c r="B27" s="29" t="s">
        <v>121</v>
      </c>
      <c r="C27" s="37"/>
      <c r="D27" s="38"/>
      <c r="E27" s="32" t="s">
        <v>117</v>
      </c>
      <c r="F27" s="15"/>
    </row>
    <row r="28" s="11" customFormat="1" ht="45" customHeight="1" spans="1:6">
      <c r="A28" s="19">
        <v>407</v>
      </c>
      <c r="B28" s="29"/>
      <c r="C28" s="32"/>
      <c r="D28" s="31"/>
      <c r="E28" s="32" t="s">
        <v>118</v>
      </c>
      <c r="F28" s="15"/>
    </row>
    <row r="29" s="15" customFormat="1" ht="22.5" customHeight="1" spans="1:5">
      <c r="A29" s="19">
        <v>440</v>
      </c>
      <c r="B29" s="29"/>
      <c r="C29" s="37"/>
      <c r="D29" s="38"/>
      <c r="E29" s="32" t="s">
        <v>118</v>
      </c>
    </row>
    <row r="30" s="15" customFormat="1" ht="30" customHeight="1" spans="1:5">
      <c r="A30" s="19">
        <v>441</v>
      </c>
      <c r="B30" s="29"/>
      <c r="C30" s="37"/>
      <c r="D30" s="38"/>
      <c r="E30" s="32" t="s">
        <v>118</v>
      </c>
    </row>
    <row r="31" s="11" customFormat="1" spans="1:6">
      <c r="A31" s="19">
        <v>225</v>
      </c>
      <c r="B31" s="29" t="s">
        <v>50</v>
      </c>
      <c r="C31" s="30"/>
      <c r="D31" s="31"/>
      <c r="E31" s="32" t="s">
        <v>117</v>
      </c>
      <c r="F31" s="15"/>
    </row>
    <row r="32" s="11" customFormat="1" spans="1:6">
      <c r="A32" s="19">
        <v>226</v>
      </c>
      <c r="B32" s="29"/>
      <c r="C32" s="30"/>
      <c r="D32" s="31"/>
      <c r="E32" s="32" t="s">
        <v>117</v>
      </c>
      <c r="F32" s="15"/>
    </row>
    <row r="33" s="11" customFormat="1" spans="1:6">
      <c r="A33" s="19">
        <v>227</v>
      </c>
      <c r="B33" s="29"/>
      <c r="C33" s="19"/>
      <c r="D33" s="31"/>
      <c r="E33" s="19" t="s">
        <v>117</v>
      </c>
      <c r="F33" s="15"/>
    </row>
    <row r="34" s="11" customFormat="1" spans="1:6">
      <c r="A34" s="19">
        <v>228</v>
      </c>
      <c r="B34" s="29"/>
      <c r="C34" s="37"/>
      <c r="D34" s="31"/>
      <c r="E34" s="19" t="s">
        <v>117</v>
      </c>
      <c r="F34" s="15"/>
    </row>
    <row r="35" s="11" customFormat="1" spans="1:6">
      <c r="A35" s="19">
        <v>229</v>
      </c>
      <c r="B35" s="29"/>
      <c r="C35" s="37"/>
      <c r="D35" s="38"/>
      <c r="E35" s="32" t="s">
        <v>117</v>
      </c>
      <c r="F35" s="15"/>
    </row>
    <row r="36" s="11" customFormat="1" spans="1:6">
      <c r="A36" s="19">
        <v>408</v>
      </c>
      <c r="B36" s="29"/>
      <c r="C36" s="32"/>
      <c r="D36" s="31"/>
      <c r="E36" s="32" t="s">
        <v>118</v>
      </c>
      <c r="F36" s="15"/>
    </row>
    <row r="37" s="11" customFormat="1" ht="28" customHeight="1" spans="1:6">
      <c r="A37" s="19">
        <v>409</v>
      </c>
      <c r="B37" s="29"/>
      <c r="C37" s="32"/>
      <c r="D37" s="31"/>
      <c r="E37" s="32" t="s">
        <v>118</v>
      </c>
      <c r="F37" s="15"/>
    </row>
    <row r="38" s="13" customFormat="1" ht="39" customHeight="1" spans="1:6">
      <c r="A38" s="19">
        <v>410</v>
      </c>
      <c r="B38" s="29"/>
      <c r="C38" s="19"/>
      <c r="D38" s="31"/>
      <c r="E38" s="32" t="s">
        <v>118</v>
      </c>
      <c r="F38" s="15"/>
    </row>
    <row r="39" s="16" customFormat="1" ht="25" customHeight="1" spans="1:6">
      <c r="A39" s="19">
        <v>411</v>
      </c>
      <c r="B39" s="29"/>
      <c r="C39" s="19"/>
      <c r="D39" s="31"/>
      <c r="E39" s="32" t="s">
        <v>118</v>
      </c>
      <c r="F39" s="40"/>
    </row>
    <row r="40" s="13" customFormat="1" ht="35" customHeight="1" spans="1:6">
      <c r="A40" s="19">
        <v>230</v>
      </c>
      <c r="B40" s="29" t="s">
        <v>47</v>
      </c>
      <c r="C40" s="37"/>
      <c r="D40" s="38"/>
      <c r="E40" s="32" t="s">
        <v>117</v>
      </c>
      <c r="F40" s="15"/>
    </row>
    <row r="41" s="11" customFormat="1" spans="1:6">
      <c r="A41" s="19">
        <v>231</v>
      </c>
      <c r="B41" s="29"/>
      <c r="C41" s="32"/>
      <c r="D41" s="31"/>
      <c r="E41" s="32" t="s">
        <v>117</v>
      </c>
      <c r="F41" s="15"/>
    </row>
    <row r="42" s="11" customFormat="1" spans="1:6">
      <c r="A42" s="19">
        <v>412</v>
      </c>
      <c r="B42" s="29"/>
      <c r="C42" s="30"/>
      <c r="D42" s="38"/>
      <c r="E42" s="32" t="s">
        <v>118</v>
      </c>
      <c r="F42" s="15"/>
    </row>
    <row r="43" s="11" customFormat="1" spans="1:6">
      <c r="A43" s="19">
        <v>413</v>
      </c>
      <c r="B43" s="29"/>
      <c r="C43" s="19"/>
      <c r="D43" s="31"/>
      <c r="E43" s="32" t="s">
        <v>118</v>
      </c>
      <c r="F43" s="15"/>
    </row>
    <row r="44" s="13" customFormat="1" ht="12" spans="1:6">
      <c r="A44" s="19">
        <v>414</v>
      </c>
      <c r="B44" s="29"/>
      <c r="C44" s="32"/>
      <c r="D44" s="31"/>
      <c r="E44" s="32" t="s">
        <v>118</v>
      </c>
      <c r="F44" s="15"/>
    </row>
    <row r="45" s="13" customFormat="1" ht="36" customHeight="1" spans="1:6">
      <c r="A45" s="19">
        <v>415</v>
      </c>
      <c r="B45" s="29"/>
      <c r="C45" s="30"/>
      <c r="D45" s="31"/>
      <c r="E45" s="32" t="s">
        <v>118</v>
      </c>
      <c r="F45" s="15"/>
    </row>
    <row r="46" s="13" customFormat="1" ht="38" customHeight="1" spans="1:6">
      <c r="A46" s="19">
        <v>232</v>
      </c>
      <c r="B46" s="29" t="s">
        <v>122</v>
      </c>
      <c r="C46" s="32"/>
      <c r="D46" s="31"/>
      <c r="E46" s="32" t="s">
        <v>117</v>
      </c>
      <c r="F46" s="15"/>
    </row>
    <row r="47" s="11" customFormat="1" spans="1:6">
      <c r="A47" s="19">
        <v>233</v>
      </c>
      <c r="B47" s="29"/>
      <c r="C47" s="32"/>
      <c r="D47" s="31"/>
      <c r="E47" s="19" t="s">
        <v>117</v>
      </c>
      <c r="F47" s="15"/>
    </row>
    <row r="48" s="13" customFormat="1" ht="38" customHeight="1" spans="1:6">
      <c r="A48" s="19">
        <v>250</v>
      </c>
      <c r="B48" s="29"/>
      <c r="C48" s="30"/>
      <c r="D48" s="41"/>
      <c r="E48" s="32" t="s">
        <v>117</v>
      </c>
      <c r="F48" s="15"/>
    </row>
    <row r="49" s="14" customFormat="1" ht="48" customHeight="1" spans="1:6">
      <c r="A49" s="19">
        <v>416</v>
      </c>
      <c r="B49" s="29"/>
      <c r="C49" s="37"/>
      <c r="D49" s="31"/>
      <c r="E49" s="32" t="s">
        <v>118</v>
      </c>
      <c r="F49" s="34"/>
    </row>
    <row r="50" s="13" customFormat="1" ht="12" spans="1:6">
      <c r="A50" s="19">
        <v>417</v>
      </c>
      <c r="B50" s="29"/>
      <c r="C50" s="19"/>
      <c r="D50" s="31"/>
      <c r="E50" s="32" t="s">
        <v>118</v>
      </c>
      <c r="F50" s="15"/>
    </row>
    <row r="51" s="15" customFormat="1" ht="11.25" spans="1:5">
      <c r="A51" s="19">
        <v>418</v>
      </c>
      <c r="B51" s="29"/>
      <c r="C51" s="19"/>
      <c r="D51" s="31"/>
      <c r="E51" s="32" t="s">
        <v>118</v>
      </c>
    </row>
    <row r="52" s="11" customFormat="1" spans="1:6">
      <c r="A52" s="19">
        <v>442</v>
      </c>
      <c r="B52" s="29"/>
      <c r="C52" s="30"/>
      <c r="D52" s="41"/>
      <c r="E52" s="32" t="s">
        <v>118</v>
      </c>
      <c r="F52" s="15"/>
    </row>
    <row r="53" s="11" customFormat="1" spans="1:6">
      <c r="A53" s="19">
        <v>419</v>
      </c>
      <c r="B53" s="29" t="s">
        <v>54</v>
      </c>
      <c r="C53" s="32"/>
      <c r="D53" s="38"/>
      <c r="E53" s="32" t="s">
        <v>118</v>
      </c>
      <c r="F53" s="15"/>
    </row>
    <row r="54" s="13" customFormat="1" ht="12" spans="1:6">
      <c r="A54" s="19">
        <v>420</v>
      </c>
      <c r="B54" s="29"/>
      <c r="C54" s="37"/>
      <c r="D54" s="38"/>
      <c r="E54" s="32" t="s">
        <v>118</v>
      </c>
      <c r="F54" s="15"/>
    </row>
    <row r="55" s="13" customFormat="1" ht="12" spans="1:6">
      <c r="A55" s="19">
        <v>391</v>
      </c>
      <c r="B55" s="29" t="s">
        <v>123</v>
      </c>
      <c r="C55" s="32"/>
      <c r="D55" s="31"/>
      <c r="E55" s="19" t="s">
        <v>117</v>
      </c>
      <c r="F55" s="15"/>
    </row>
    <row r="56" s="15" customFormat="1" ht="16" customHeight="1" spans="1:5">
      <c r="A56" s="19">
        <v>392</v>
      </c>
      <c r="B56" s="29"/>
      <c r="C56" s="30"/>
      <c r="D56" s="31"/>
      <c r="E56" s="19" t="s">
        <v>117</v>
      </c>
    </row>
    <row r="57" s="15" customFormat="1" ht="11.25" spans="1:5">
      <c r="A57" s="19">
        <v>393</v>
      </c>
      <c r="B57" s="29"/>
      <c r="C57" s="32"/>
      <c r="D57" s="31"/>
      <c r="E57" s="19" t="s">
        <v>117</v>
      </c>
    </row>
    <row r="58" s="15" customFormat="1" ht="27" customHeight="1" spans="1:5">
      <c r="A58" s="19">
        <v>607</v>
      </c>
      <c r="B58" s="29"/>
      <c r="C58" s="32"/>
      <c r="D58" s="31"/>
      <c r="E58" s="32" t="s">
        <v>118</v>
      </c>
    </row>
    <row r="59" s="17" customFormat="1" spans="1:6">
      <c r="A59" s="19">
        <v>608</v>
      </c>
      <c r="B59" s="29"/>
      <c r="C59" s="32"/>
      <c r="D59" s="31"/>
      <c r="E59" s="32" t="s">
        <v>118</v>
      </c>
      <c r="F59" s="42"/>
    </row>
    <row r="60" s="11" customFormat="1" ht="25" customHeight="1" spans="1:6">
      <c r="A60" s="19">
        <v>609</v>
      </c>
      <c r="B60" s="29"/>
      <c r="C60" s="19"/>
      <c r="D60" s="31"/>
      <c r="E60" s="32" t="s">
        <v>118</v>
      </c>
      <c r="F60" s="15"/>
    </row>
    <row r="61" s="15" customFormat="1" ht="11.25" spans="1:5">
      <c r="A61" s="19">
        <v>234</v>
      </c>
      <c r="B61" s="29" t="s">
        <v>53</v>
      </c>
      <c r="C61" s="32"/>
      <c r="D61" s="31"/>
      <c r="E61" s="32" t="s">
        <v>117</v>
      </c>
    </row>
    <row r="62" s="13" customFormat="1" ht="27" customHeight="1" spans="1:6">
      <c r="A62" s="19">
        <v>235</v>
      </c>
      <c r="B62" s="29"/>
      <c r="C62" s="32"/>
      <c r="D62" s="31"/>
      <c r="E62" s="32" t="s">
        <v>117</v>
      </c>
      <c r="F62" s="15"/>
    </row>
    <row r="63" s="15" customFormat="1" ht="11.25" spans="1:5">
      <c r="A63" s="19">
        <v>236</v>
      </c>
      <c r="B63" s="29"/>
      <c r="C63" s="37"/>
      <c r="D63" s="38"/>
      <c r="E63" s="32" t="s">
        <v>117</v>
      </c>
    </row>
    <row r="64" s="15" customFormat="1" ht="35" customHeight="1" spans="1:5">
      <c r="A64" s="19">
        <v>421</v>
      </c>
      <c r="B64" s="29"/>
      <c r="C64" s="32"/>
      <c r="D64" s="31"/>
      <c r="E64" s="32" t="s">
        <v>118</v>
      </c>
    </row>
    <row r="65" s="13" customFormat="1" ht="12" spans="1:6">
      <c r="A65" s="19">
        <v>237</v>
      </c>
      <c r="B65" s="29" t="s">
        <v>48</v>
      </c>
      <c r="C65" s="32"/>
      <c r="D65" s="31"/>
      <c r="E65" s="32" t="s">
        <v>117</v>
      </c>
      <c r="F65" s="15"/>
    </row>
    <row r="66" s="15" customFormat="1" ht="35" customHeight="1" spans="1:5">
      <c r="A66" s="19">
        <v>238</v>
      </c>
      <c r="B66" s="29"/>
      <c r="C66" s="30"/>
      <c r="D66" s="31"/>
      <c r="E66" s="32" t="s">
        <v>117</v>
      </c>
    </row>
    <row r="67" s="15" customFormat="1" ht="11.25" spans="1:5">
      <c r="A67" s="19">
        <v>422</v>
      </c>
      <c r="B67" s="29"/>
      <c r="C67" s="32"/>
      <c r="D67" s="31"/>
      <c r="E67" s="32" t="s">
        <v>118</v>
      </c>
    </row>
    <row r="68" s="11" customFormat="1" spans="1:6">
      <c r="A68" s="19">
        <v>423</v>
      </c>
      <c r="B68" s="29"/>
      <c r="C68" s="30"/>
      <c r="D68" s="31"/>
      <c r="E68" s="32" t="s">
        <v>118</v>
      </c>
      <c r="F68" s="15"/>
    </row>
    <row r="69" s="11" customFormat="1" ht="25" customHeight="1" spans="1:6">
      <c r="A69" s="19">
        <v>239</v>
      </c>
      <c r="B69" s="29" t="s">
        <v>124</v>
      </c>
      <c r="C69" s="37"/>
      <c r="D69" s="38"/>
      <c r="E69" s="19" t="s">
        <v>117</v>
      </c>
      <c r="F69" s="15"/>
    </row>
    <row r="70" s="15" customFormat="1" ht="11.25" spans="1:5">
      <c r="A70" s="19">
        <v>240</v>
      </c>
      <c r="B70" s="29"/>
      <c r="C70" s="37"/>
      <c r="D70" s="38"/>
      <c r="E70" s="19" t="s">
        <v>117</v>
      </c>
    </row>
    <row r="71" s="13" customFormat="1" ht="12" spans="1:6">
      <c r="A71" s="19">
        <v>251</v>
      </c>
      <c r="B71" s="29"/>
      <c r="C71" s="37"/>
      <c r="D71" s="38"/>
      <c r="E71" s="32" t="s">
        <v>117</v>
      </c>
      <c r="F71" s="15"/>
    </row>
    <row r="72" s="13" customFormat="1" ht="26" customHeight="1" spans="1:6">
      <c r="A72" s="19">
        <v>424</v>
      </c>
      <c r="B72" s="29"/>
      <c r="C72" s="30"/>
      <c r="D72" s="31"/>
      <c r="E72" s="32" t="s">
        <v>118</v>
      </c>
      <c r="F72" s="15"/>
    </row>
    <row r="73" s="11" customFormat="1" spans="1:6">
      <c r="A73" s="19">
        <v>425</v>
      </c>
      <c r="B73" s="29"/>
      <c r="C73" s="30"/>
      <c r="D73" s="31"/>
      <c r="E73" s="32" t="s">
        <v>118</v>
      </c>
      <c r="F73" s="15"/>
    </row>
    <row r="74" s="11" customFormat="1" spans="1:6">
      <c r="A74" s="19">
        <v>426</v>
      </c>
      <c r="B74" s="29"/>
      <c r="C74" s="30"/>
      <c r="D74" s="31"/>
      <c r="E74" s="32" t="s">
        <v>118</v>
      </c>
      <c r="F74" s="15"/>
    </row>
    <row r="75" s="11" customFormat="1" spans="1:6">
      <c r="A75" s="19"/>
      <c r="B75" s="35" t="s">
        <v>58</v>
      </c>
      <c r="C75" s="30"/>
      <c r="D75" s="31"/>
      <c r="E75" s="19" t="s">
        <v>117</v>
      </c>
      <c r="F75" s="15"/>
    </row>
    <row r="76" s="11" customFormat="1" spans="1:6">
      <c r="A76" s="19"/>
      <c r="B76" s="36"/>
      <c r="C76" s="30"/>
      <c r="D76" s="31"/>
      <c r="E76" s="19" t="s">
        <v>117</v>
      </c>
      <c r="F76" s="15"/>
    </row>
    <row r="77" s="11" customFormat="1" spans="1:6">
      <c r="A77" s="19"/>
      <c r="B77" s="36"/>
      <c r="C77" s="30"/>
      <c r="D77" s="31"/>
      <c r="E77" s="19" t="s">
        <v>118</v>
      </c>
      <c r="F77" s="15"/>
    </row>
    <row r="78" s="11" customFormat="1" spans="1:6">
      <c r="A78" s="19"/>
      <c r="B78" s="36"/>
      <c r="C78" s="30"/>
      <c r="D78" s="31"/>
      <c r="E78" s="19" t="s">
        <v>118</v>
      </c>
      <c r="F78" s="15"/>
    </row>
    <row r="79" s="11" customFormat="1" spans="1:6">
      <c r="A79" s="19"/>
      <c r="B79" s="36"/>
      <c r="C79" s="32"/>
      <c r="D79" s="31"/>
      <c r="E79" s="19" t="s">
        <v>117</v>
      </c>
      <c r="F79" s="15"/>
    </row>
    <row r="80" s="11" customFormat="1" spans="1:6">
      <c r="A80" s="19"/>
      <c r="B80" s="39"/>
      <c r="C80" s="30"/>
      <c r="D80" s="31"/>
      <c r="E80" s="19" t="s">
        <v>118</v>
      </c>
      <c r="F80" s="15"/>
    </row>
    <row r="81" s="15" customFormat="1" ht="11.25" spans="1:5">
      <c r="A81" s="19">
        <v>241</v>
      </c>
      <c r="B81" s="29" t="s">
        <v>62</v>
      </c>
      <c r="C81" s="30"/>
      <c r="D81" s="31"/>
      <c r="E81" s="19" t="s">
        <v>118</v>
      </c>
    </row>
    <row r="82" s="11" customFormat="1" spans="1:6">
      <c r="A82" s="19">
        <v>242</v>
      </c>
      <c r="B82" s="29"/>
      <c r="C82" s="30"/>
      <c r="D82" s="31"/>
      <c r="E82" s="19" t="s">
        <v>117</v>
      </c>
      <c r="F82" s="15"/>
    </row>
    <row r="83" s="11" customFormat="1" spans="1:6">
      <c r="A83" s="19">
        <v>427</v>
      </c>
      <c r="B83" s="29"/>
      <c r="C83" s="30"/>
      <c r="D83" s="31"/>
      <c r="E83" s="32" t="s">
        <v>118</v>
      </c>
      <c r="F83" s="15"/>
    </row>
    <row r="84" s="15" customFormat="1" ht="11.25" spans="1:5">
      <c r="A84" s="19">
        <v>243</v>
      </c>
      <c r="B84" s="29" t="s">
        <v>55</v>
      </c>
      <c r="C84" s="30"/>
      <c r="D84" s="31"/>
      <c r="E84" s="32" t="s">
        <v>117</v>
      </c>
    </row>
    <row r="85" s="13" customFormat="1" ht="12" spans="1:6">
      <c r="A85" s="19">
        <v>244</v>
      </c>
      <c r="B85" s="29"/>
      <c r="C85" s="19"/>
      <c r="D85" s="31"/>
      <c r="E85" s="32" t="s">
        <v>117</v>
      </c>
      <c r="F85" s="15"/>
    </row>
    <row r="86" s="13" customFormat="1" ht="34" customHeight="1" spans="1:6">
      <c r="A86" s="19">
        <v>245</v>
      </c>
      <c r="B86" s="29" t="s">
        <v>45</v>
      </c>
      <c r="C86" s="19"/>
      <c r="D86" s="31"/>
      <c r="E86" s="32" t="s">
        <v>117</v>
      </c>
      <c r="F86" s="15"/>
    </row>
    <row r="87" s="15" customFormat="1" ht="11.25" spans="1:5">
      <c r="A87" s="19">
        <v>246</v>
      </c>
      <c r="B87" s="29"/>
      <c r="C87" s="32"/>
      <c r="D87" s="31"/>
      <c r="E87" s="32" t="s">
        <v>117</v>
      </c>
    </row>
    <row r="88" s="13" customFormat="1" ht="41" customHeight="1" spans="1:6">
      <c r="A88" s="19">
        <v>428</v>
      </c>
      <c r="B88" s="29"/>
      <c r="C88" s="30"/>
      <c r="D88" s="31"/>
      <c r="E88" s="32" t="s">
        <v>118</v>
      </c>
      <c r="F88" s="15"/>
    </row>
    <row r="89" s="15" customFormat="1" ht="48" customHeight="1" spans="1:5">
      <c r="A89" s="19">
        <v>247</v>
      </c>
      <c r="B89" s="35" t="s">
        <v>125</v>
      </c>
      <c r="C89" s="30"/>
      <c r="D89" s="31"/>
      <c r="E89" s="32" t="s">
        <v>117</v>
      </c>
    </row>
    <row r="90" s="11" customFormat="1" ht="40" customHeight="1" spans="1:6">
      <c r="A90" s="19">
        <v>248</v>
      </c>
      <c r="B90" s="36"/>
      <c r="C90" s="32"/>
      <c r="D90" s="31"/>
      <c r="E90" s="32" t="s">
        <v>117</v>
      </c>
      <c r="F90" s="15"/>
    </row>
    <row r="91" s="11" customFormat="1" spans="1:6">
      <c r="A91" s="19">
        <v>429</v>
      </c>
      <c r="B91" s="36"/>
      <c r="C91" s="30"/>
      <c r="D91" s="31"/>
      <c r="E91" s="32" t="s">
        <v>118</v>
      </c>
      <c r="F91" s="15"/>
    </row>
    <row r="92" s="11" customFormat="1" spans="1:6">
      <c r="A92" s="19"/>
      <c r="B92" s="36"/>
      <c r="C92" s="30"/>
      <c r="D92" s="31"/>
      <c r="E92" s="32" t="s">
        <v>118</v>
      </c>
      <c r="F92" s="15"/>
    </row>
    <row r="93" s="11" customFormat="1" spans="1:6">
      <c r="A93" s="19"/>
      <c r="B93" s="36"/>
      <c r="C93" s="19"/>
      <c r="D93" s="31"/>
      <c r="E93" s="32" t="s">
        <v>118</v>
      </c>
      <c r="F93" s="15"/>
    </row>
    <row r="94" s="11" customFormat="1" spans="1:6">
      <c r="A94" s="19"/>
      <c r="B94" s="36"/>
      <c r="C94" s="19"/>
      <c r="D94" s="31"/>
      <c r="E94" s="32" t="s">
        <v>118</v>
      </c>
      <c r="F94" s="15"/>
    </row>
    <row r="95" s="15" customFormat="1" ht="11.25" spans="1:6">
      <c r="A95" s="19">
        <v>286</v>
      </c>
      <c r="B95" s="39"/>
      <c r="C95" s="19"/>
      <c r="D95" s="31"/>
      <c r="E95" s="32" t="s">
        <v>117</v>
      </c>
      <c r="F95" s="15" t="s">
        <v>126</v>
      </c>
    </row>
    <row r="96" s="11" customFormat="1" ht="23" customHeight="1" spans="1:6">
      <c r="A96" s="19">
        <v>249</v>
      </c>
      <c r="B96" s="29" t="s">
        <v>127</v>
      </c>
      <c r="C96" s="19"/>
      <c r="D96" s="31"/>
      <c r="E96" s="32" t="s">
        <v>117</v>
      </c>
      <c r="F96" s="15"/>
    </row>
    <row r="97" s="15" customFormat="1" ht="11.25" spans="1:5">
      <c r="A97" s="19">
        <v>431</v>
      </c>
      <c r="B97" s="29"/>
      <c r="C97" s="43"/>
      <c r="D97" s="44"/>
      <c r="E97" s="32" t="s">
        <v>118</v>
      </c>
    </row>
    <row r="98" s="13" customFormat="1" ht="35" customHeight="1" spans="1:6">
      <c r="A98" s="19">
        <v>432</v>
      </c>
      <c r="B98" s="29"/>
      <c r="C98" s="32"/>
      <c r="D98" s="45"/>
      <c r="E98" s="32" t="s">
        <v>118</v>
      </c>
      <c r="F98" s="15"/>
    </row>
    <row r="99" s="11" customFormat="1" spans="1:6">
      <c r="A99" s="19">
        <v>433</v>
      </c>
      <c r="B99" s="29"/>
      <c r="C99" s="32"/>
      <c r="D99" s="45"/>
      <c r="E99" s="32" t="s">
        <v>118</v>
      </c>
      <c r="F99" s="15"/>
    </row>
    <row r="100" s="11" customFormat="1" spans="1:6">
      <c r="A100" s="19">
        <v>434</v>
      </c>
      <c r="B100" s="29"/>
      <c r="C100" s="32"/>
      <c r="D100" s="45"/>
      <c r="E100" s="32" t="s">
        <v>118</v>
      </c>
      <c r="F100" s="15"/>
    </row>
    <row r="101" s="11" customFormat="1" spans="1:6">
      <c r="A101" s="19">
        <v>435</v>
      </c>
      <c r="B101" s="29" t="s">
        <v>44</v>
      </c>
      <c r="C101" s="32"/>
      <c r="D101" s="45"/>
      <c r="E101" s="32" t="s">
        <v>118</v>
      </c>
      <c r="F101" s="15"/>
    </row>
    <row r="102" s="13" customFormat="1" ht="12" spans="1:6">
      <c r="A102" s="19">
        <v>436</v>
      </c>
      <c r="B102" s="29"/>
      <c r="C102" s="32"/>
      <c r="D102" s="45"/>
      <c r="E102" s="32" t="s">
        <v>118</v>
      </c>
      <c r="F102" s="15"/>
    </row>
    <row r="103" s="11" customFormat="1" spans="1:6">
      <c r="A103" s="19">
        <v>437</v>
      </c>
      <c r="B103" s="29"/>
      <c r="C103" s="32"/>
      <c r="D103" s="45"/>
      <c r="E103" s="32" t="s">
        <v>118</v>
      </c>
      <c r="F103" s="15"/>
    </row>
    <row r="104" s="15" customFormat="1" ht="11.25" spans="1:5">
      <c r="A104" s="19">
        <v>252</v>
      </c>
      <c r="B104" s="29" t="s">
        <v>81</v>
      </c>
      <c r="C104" s="32"/>
      <c r="D104" s="31"/>
      <c r="E104" s="32" t="s">
        <v>117</v>
      </c>
    </row>
    <row r="105" s="11" customFormat="1" ht="40" customHeight="1" spans="1:6">
      <c r="A105" s="19">
        <v>253</v>
      </c>
      <c r="B105" s="29"/>
      <c r="C105" s="32"/>
      <c r="D105" s="31"/>
      <c r="E105" s="32" t="s">
        <v>117</v>
      </c>
      <c r="F105" s="15" t="s">
        <v>128</v>
      </c>
    </row>
    <row r="106" s="11" customFormat="1" ht="39" customHeight="1" spans="1:6">
      <c r="A106" s="19">
        <v>254</v>
      </c>
      <c r="B106" s="29"/>
      <c r="C106" s="32"/>
      <c r="D106" s="31"/>
      <c r="E106" s="32" t="s">
        <v>117</v>
      </c>
      <c r="F106" s="15"/>
    </row>
    <row r="107" s="11" customFormat="1" spans="1:6">
      <c r="A107" s="19">
        <v>255</v>
      </c>
      <c r="B107" s="29"/>
      <c r="C107" s="30"/>
      <c r="D107" s="41"/>
      <c r="E107" s="32" t="s">
        <v>117</v>
      </c>
      <c r="F107" s="15"/>
    </row>
    <row r="108" s="11" customFormat="1" ht="26" customHeight="1" spans="1:6">
      <c r="A108" s="19">
        <v>256</v>
      </c>
      <c r="B108" s="29"/>
      <c r="C108" s="32"/>
      <c r="D108" s="31"/>
      <c r="E108" s="32" t="s">
        <v>117</v>
      </c>
      <c r="F108" s="15"/>
    </row>
    <row r="109" s="11" customFormat="1" ht="26" customHeight="1" spans="1:6">
      <c r="A109" s="19">
        <v>443</v>
      </c>
      <c r="B109" s="29"/>
      <c r="C109" s="19"/>
      <c r="D109" s="31"/>
      <c r="E109" s="32" t="s">
        <v>118</v>
      </c>
      <c r="F109" s="15"/>
    </row>
    <row r="110" s="11" customFormat="1" ht="33" customHeight="1" spans="1:6">
      <c r="A110" s="19">
        <v>444</v>
      </c>
      <c r="B110" s="29"/>
      <c r="C110" s="32"/>
      <c r="D110" s="31"/>
      <c r="E110" s="32" t="s">
        <v>118</v>
      </c>
      <c r="F110" s="15"/>
    </row>
    <row r="111" s="11" customFormat="1" ht="27" customHeight="1" spans="1:6">
      <c r="A111" s="19">
        <v>445</v>
      </c>
      <c r="B111" s="29"/>
      <c r="C111" s="32"/>
      <c r="D111" s="31"/>
      <c r="E111" s="32" t="s">
        <v>118</v>
      </c>
      <c r="F111" s="15"/>
    </row>
    <row r="112" s="14" customFormat="1" ht="24" customHeight="1" spans="1:6">
      <c r="A112" s="19">
        <v>446</v>
      </c>
      <c r="B112" s="29"/>
      <c r="C112" s="32"/>
      <c r="D112" s="31"/>
      <c r="E112" s="32" t="s">
        <v>118</v>
      </c>
      <c r="F112" s="34"/>
    </row>
    <row r="113" s="14" customFormat="1" ht="24" customHeight="1" spans="1:6">
      <c r="A113" s="19">
        <v>447</v>
      </c>
      <c r="B113" s="29"/>
      <c r="C113" s="32"/>
      <c r="D113" s="31"/>
      <c r="E113" s="32" t="s">
        <v>118</v>
      </c>
      <c r="F113" s="34"/>
    </row>
    <row r="114" s="11" customFormat="1" spans="1:6">
      <c r="A114" s="19">
        <v>448</v>
      </c>
      <c r="B114" s="29"/>
      <c r="C114" s="32"/>
      <c r="D114" s="31"/>
      <c r="E114" s="32" t="s">
        <v>118</v>
      </c>
      <c r="F114" s="15"/>
    </row>
    <row r="115" s="14" customFormat="1" ht="24" customHeight="1" spans="1:6">
      <c r="A115" s="19">
        <v>449</v>
      </c>
      <c r="B115" s="29"/>
      <c r="C115" s="32"/>
      <c r="D115" s="41"/>
      <c r="E115" s="32" t="s">
        <v>118</v>
      </c>
      <c r="F115" s="34"/>
    </row>
    <row r="116" s="14" customFormat="1" ht="24" customHeight="1" spans="1:6">
      <c r="A116" s="19">
        <v>450</v>
      </c>
      <c r="B116" s="29"/>
      <c r="C116" s="30"/>
      <c r="D116" s="41"/>
      <c r="E116" s="32" t="s">
        <v>118</v>
      </c>
      <c r="F116" s="34"/>
    </row>
    <row r="117" s="11" customFormat="1" spans="1:6">
      <c r="A117" s="19">
        <v>451</v>
      </c>
      <c r="B117" s="29"/>
      <c r="C117" s="30"/>
      <c r="D117" s="41"/>
      <c r="E117" s="32" t="s">
        <v>118</v>
      </c>
      <c r="F117" s="15"/>
    </row>
    <row r="118" s="15" customFormat="1" ht="11.25" spans="1:5">
      <c r="A118" s="19">
        <v>452</v>
      </c>
      <c r="B118" s="29"/>
      <c r="C118" s="30"/>
      <c r="D118" s="41"/>
      <c r="E118" s="32" t="s">
        <v>118</v>
      </c>
    </row>
    <row r="119" s="11" customFormat="1" spans="1:6">
      <c r="A119" s="19">
        <v>453</v>
      </c>
      <c r="B119" s="29"/>
      <c r="C119" s="32"/>
      <c r="D119" s="31"/>
      <c r="E119" s="32" t="s">
        <v>118</v>
      </c>
      <c r="F119" s="15"/>
    </row>
    <row r="120" s="11" customFormat="1" spans="1:6">
      <c r="A120" s="19">
        <v>454</v>
      </c>
      <c r="B120" s="29"/>
      <c r="C120" s="19"/>
      <c r="D120" s="31"/>
      <c r="E120" s="32" t="s">
        <v>118</v>
      </c>
      <c r="F120" s="15"/>
    </row>
    <row r="121" s="15" customFormat="1" ht="11.25" spans="1:5">
      <c r="A121" s="19">
        <v>455</v>
      </c>
      <c r="B121" s="29"/>
      <c r="C121" s="32"/>
      <c r="D121" s="31"/>
      <c r="E121" s="32" t="s">
        <v>118</v>
      </c>
    </row>
    <row r="122" s="11" customFormat="1" spans="1:6">
      <c r="A122" s="19">
        <v>257</v>
      </c>
      <c r="B122" s="29" t="s">
        <v>87</v>
      </c>
      <c r="C122" s="30"/>
      <c r="D122" s="41"/>
      <c r="E122" s="32" t="s">
        <v>117</v>
      </c>
      <c r="F122" s="15"/>
    </row>
    <row r="123" s="11" customFormat="1" spans="1:6">
      <c r="A123" s="19">
        <v>456</v>
      </c>
      <c r="B123" s="29"/>
      <c r="C123" s="30"/>
      <c r="D123" s="31"/>
      <c r="E123" s="32" t="s">
        <v>118</v>
      </c>
      <c r="F123" s="15"/>
    </row>
    <row r="124" s="11" customFormat="1" ht="38" customHeight="1" spans="1:6">
      <c r="A124" s="19">
        <v>457</v>
      </c>
      <c r="B124" s="29"/>
      <c r="C124" s="32"/>
      <c r="D124" s="31"/>
      <c r="E124" s="32" t="s">
        <v>118</v>
      </c>
      <c r="F124" s="15"/>
    </row>
    <row r="125" s="15" customFormat="1" ht="11.25" spans="1:5">
      <c r="A125" s="19">
        <v>458</v>
      </c>
      <c r="B125" s="29"/>
      <c r="C125" s="30"/>
      <c r="D125" s="41"/>
      <c r="E125" s="32" t="s">
        <v>118</v>
      </c>
    </row>
    <row r="126" s="11" customFormat="1" spans="1:6">
      <c r="A126" s="19">
        <v>459</v>
      </c>
      <c r="B126" s="29"/>
      <c r="C126" s="32"/>
      <c r="D126" s="31"/>
      <c r="E126" s="32" t="s">
        <v>118</v>
      </c>
      <c r="F126" s="15" t="s">
        <v>126</v>
      </c>
    </row>
    <row r="127" s="15" customFormat="1" ht="11.25" spans="1:5">
      <c r="A127" s="19">
        <v>460</v>
      </c>
      <c r="B127" s="29"/>
      <c r="C127" s="32"/>
      <c r="D127" s="31"/>
      <c r="E127" s="32" t="s">
        <v>118</v>
      </c>
    </row>
    <row r="128" s="11" customFormat="1" spans="1:6">
      <c r="A128" s="19">
        <v>461</v>
      </c>
      <c r="B128" s="29"/>
      <c r="C128" s="32"/>
      <c r="D128" s="31"/>
      <c r="E128" s="32" t="s">
        <v>118</v>
      </c>
      <c r="F128" s="15"/>
    </row>
    <row r="129" s="15" customFormat="1" ht="11.25" spans="1:5">
      <c r="A129" s="19">
        <v>462</v>
      </c>
      <c r="B129" s="29"/>
      <c r="C129" s="32"/>
      <c r="D129" s="31"/>
      <c r="E129" s="32" t="s">
        <v>118</v>
      </c>
    </row>
    <row r="130" s="11" customFormat="1" spans="1:6">
      <c r="A130" s="19">
        <v>463</v>
      </c>
      <c r="B130" s="29"/>
      <c r="C130" s="19"/>
      <c r="D130" s="31"/>
      <c r="E130" s="32" t="s">
        <v>118</v>
      </c>
      <c r="F130" s="15"/>
    </row>
    <row r="131" s="11" customFormat="1" spans="1:6">
      <c r="A131" s="19">
        <v>464</v>
      </c>
      <c r="B131" s="29"/>
      <c r="C131" s="32"/>
      <c r="D131" s="31"/>
      <c r="E131" s="32" t="s">
        <v>118</v>
      </c>
      <c r="F131" s="15"/>
    </row>
    <row r="132" s="16" customFormat="1" ht="12.75" spans="1:6">
      <c r="A132" s="19">
        <v>258</v>
      </c>
      <c r="B132" s="29" t="s">
        <v>95</v>
      </c>
      <c r="C132" s="32"/>
      <c r="D132" s="31"/>
      <c r="E132" s="32" t="s">
        <v>117</v>
      </c>
      <c r="F132" s="40"/>
    </row>
    <row r="133" s="11" customFormat="1" spans="1:6">
      <c r="A133" s="19">
        <v>465</v>
      </c>
      <c r="B133" s="29"/>
      <c r="C133" s="19"/>
      <c r="D133" s="31"/>
      <c r="E133" s="32" t="s">
        <v>118</v>
      </c>
      <c r="F133" s="15"/>
    </row>
    <row r="134" s="15" customFormat="1" ht="26" customHeight="1" spans="1:5">
      <c r="A134" s="19">
        <v>263</v>
      </c>
      <c r="B134" s="29" t="s">
        <v>98</v>
      </c>
      <c r="C134" s="19"/>
      <c r="D134" s="31"/>
      <c r="E134" s="19" t="s">
        <v>117</v>
      </c>
    </row>
    <row r="135" s="15" customFormat="1" ht="11.25" spans="1:5">
      <c r="A135" s="19">
        <v>264</v>
      </c>
      <c r="B135" s="29"/>
      <c r="C135" s="32"/>
      <c r="D135" s="31"/>
      <c r="E135" s="32" t="s">
        <v>117</v>
      </c>
    </row>
    <row r="136" s="15" customFormat="1" ht="45" customHeight="1" spans="1:5">
      <c r="A136" s="19">
        <v>468</v>
      </c>
      <c r="B136" s="29"/>
      <c r="C136" s="32"/>
      <c r="D136" s="31"/>
      <c r="E136" s="32" t="s">
        <v>118</v>
      </c>
    </row>
    <row r="137" s="15" customFormat="1" ht="11.25" spans="1:5">
      <c r="A137" s="19">
        <v>469</v>
      </c>
      <c r="B137" s="29"/>
      <c r="C137" s="32"/>
      <c r="D137" s="31"/>
      <c r="E137" s="32" t="s">
        <v>118</v>
      </c>
    </row>
    <row r="138" s="15" customFormat="1" ht="11.25" spans="1:5">
      <c r="A138" s="19">
        <v>470</v>
      </c>
      <c r="B138" s="29"/>
      <c r="C138" s="32"/>
      <c r="D138" s="31"/>
      <c r="E138" s="32" t="s">
        <v>118</v>
      </c>
    </row>
    <row r="139" s="11" customFormat="1" spans="1:6">
      <c r="A139" s="19">
        <v>471</v>
      </c>
      <c r="B139" s="29"/>
      <c r="C139" s="32"/>
      <c r="D139" s="31"/>
      <c r="E139" s="32" t="s">
        <v>118</v>
      </c>
      <c r="F139" s="15"/>
    </row>
    <row r="140" s="11" customFormat="1" spans="1:6">
      <c r="A140" s="19">
        <v>473</v>
      </c>
      <c r="B140" s="29"/>
      <c r="C140" s="32"/>
      <c r="D140" s="31"/>
      <c r="E140" s="32" t="s">
        <v>118</v>
      </c>
      <c r="F140" s="15"/>
    </row>
    <row r="141" s="16" customFormat="1" ht="12.75" spans="1:6">
      <c r="A141" s="19">
        <v>265</v>
      </c>
      <c r="B141" s="29" t="s">
        <v>88</v>
      </c>
      <c r="C141" s="37"/>
      <c r="D141" s="38"/>
      <c r="E141" s="32" t="s">
        <v>117</v>
      </c>
      <c r="F141" s="40"/>
    </row>
    <row r="142" s="15" customFormat="1" ht="11.25" spans="1:5">
      <c r="A142" s="19">
        <v>266</v>
      </c>
      <c r="B142" s="29"/>
      <c r="C142" s="37"/>
      <c r="D142" s="38"/>
      <c r="E142" s="32" t="s">
        <v>117</v>
      </c>
    </row>
    <row r="143" s="11" customFormat="1" spans="1:6">
      <c r="A143" s="19">
        <v>267</v>
      </c>
      <c r="B143" s="29"/>
      <c r="C143" s="32"/>
      <c r="D143" s="31"/>
      <c r="E143" s="32" t="s">
        <v>117</v>
      </c>
      <c r="F143" s="15"/>
    </row>
    <row r="144" s="15" customFormat="1" ht="11.25" spans="1:5">
      <c r="A144" s="19">
        <v>268</v>
      </c>
      <c r="B144" s="29"/>
      <c r="C144" s="37"/>
      <c r="D144" s="38"/>
      <c r="E144" s="32" t="s">
        <v>117</v>
      </c>
    </row>
    <row r="145" s="11" customFormat="1" spans="1:6">
      <c r="A145" s="19">
        <v>269</v>
      </c>
      <c r="B145" s="29"/>
      <c r="C145" s="30"/>
      <c r="D145" s="31"/>
      <c r="E145" s="19" t="s">
        <v>117</v>
      </c>
      <c r="F145" s="15"/>
    </row>
    <row r="146" s="15" customFormat="1" ht="11.25" spans="1:5">
      <c r="A146" s="19">
        <v>474</v>
      </c>
      <c r="B146" s="29"/>
      <c r="C146" s="32"/>
      <c r="D146" s="31"/>
      <c r="E146" s="32" t="s">
        <v>118</v>
      </c>
    </row>
    <row r="147" s="11" customFormat="1" spans="1:6">
      <c r="A147" s="19">
        <v>475</v>
      </c>
      <c r="B147" s="29"/>
      <c r="C147" s="37"/>
      <c r="D147" s="38"/>
      <c r="E147" s="32" t="s">
        <v>118</v>
      </c>
      <c r="F147" s="15"/>
    </row>
    <row r="148" s="11" customFormat="1" spans="1:6">
      <c r="A148" s="19">
        <v>476</v>
      </c>
      <c r="B148" s="29"/>
      <c r="C148" s="30"/>
      <c r="D148" s="41"/>
      <c r="E148" s="32" t="s">
        <v>118</v>
      </c>
      <c r="F148" s="15"/>
    </row>
    <row r="149" s="14" customFormat="1" spans="1:6">
      <c r="A149" s="19">
        <v>477</v>
      </c>
      <c r="B149" s="29"/>
      <c r="C149" s="37"/>
      <c r="D149" s="38"/>
      <c r="E149" s="32" t="s">
        <v>118</v>
      </c>
      <c r="F149" s="34"/>
    </row>
    <row r="150" s="11" customFormat="1" spans="1:6">
      <c r="A150" s="19">
        <v>478</v>
      </c>
      <c r="B150" s="29"/>
      <c r="C150" s="32"/>
      <c r="D150" s="41"/>
      <c r="E150" s="32" t="s">
        <v>118</v>
      </c>
      <c r="F150" s="15"/>
    </row>
    <row r="151" s="15" customFormat="1" ht="11.25" spans="1:5">
      <c r="A151" s="19">
        <v>479</v>
      </c>
      <c r="B151" s="29"/>
      <c r="C151" s="19"/>
      <c r="D151" s="31"/>
      <c r="E151" s="32" t="s">
        <v>118</v>
      </c>
    </row>
    <row r="152" s="15" customFormat="1" ht="11.25" spans="1:5">
      <c r="A152" s="19">
        <v>270</v>
      </c>
      <c r="B152" s="29" t="s">
        <v>86</v>
      </c>
      <c r="C152" s="30"/>
      <c r="D152" s="31"/>
      <c r="E152" s="19" t="s">
        <v>117</v>
      </c>
    </row>
    <row r="153" s="11" customFormat="1" spans="1:6">
      <c r="A153" s="19">
        <v>271</v>
      </c>
      <c r="B153" s="29"/>
      <c r="C153" s="32"/>
      <c r="D153" s="31"/>
      <c r="E153" s="32" t="s">
        <v>117</v>
      </c>
      <c r="F153" s="15"/>
    </row>
    <row r="154" s="15" customFormat="1" ht="11.25" spans="1:5">
      <c r="A154" s="19">
        <v>272</v>
      </c>
      <c r="B154" s="29"/>
      <c r="C154" s="30"/>
      <c r="D154" s="31"/>
      <c r="E154" s="19" t="s">
        <v>117</v>
      </c>
    </row>
    <row r="155" s="11" customFormat="1" spans="1:6">
      <c r="A155" s="19">
        <v>273</v>
      </c>
      <c r="B155" s="29"/>
      <c r="C155" s="32"/>
      <c r="D155" s="31"/>
      <c r="E155" s="32" t="s">
        <v>117</v>
      </c>
      <c r="F155" s="15"/>
    </row>
    <row r="156" s="15" customFormat="1" ht="11.25" spans="1:5">
      <c r="A156" s="19">
        <v>274</v>
      </c>
      <c r="B156" s="29"/>
      <c r="C156" s="32"/>
      <c r="D156" s="31"/>
      <c r="E156" s="32" t="s">
        <v>117</v>
      </c>
    </row>
    <row r="157" s="15" customFormat="1" ht="11.25" spans="1:5">
      <c r="A157" s="19">
        <v>275</v>
      </c>
      <c r="B157" s="29" t="s">
        <v>92</v>
      </c>
      <c r="C157" s="32"/>
      <c r="D157" s="31"/>
      <c r="E157" s="32" t="s">
        <v>117</v>
      </c>
    </row>
    <row r="158" s="11" customFormat="1" spans="1:6">
      <c r="A158" s="19">
        <v>276</v>
      </c>
      <c r="B158" s="29"/>
      <c r="C158" s="30"/>
      <c r="D158" s="31"/>
      <c r="E158" s="19" t="s">
        <v>117</v>
      </c>
      <c r="F158" s="15"/>
    </row>
    <row r="159" s="15" customFormat="1" ht="36" customHeight="1" spans="1:5">
      <c r="A159" s="19">
        <v>277</v>
      </c>
      <c r="B159" s="29"/>
      <c r="C159" s="32"/>
      <c r="D159" s="31"/>
      <c r="E159" s="19" t="s">
        <v>117</v>
      </c>
    </row>
    <row r="160" s="15" customFormat="1" ht="38" customHeight="1" spans="1:5">
      <c r="A160" s="19">
        <v>278</v>
      </c>
      <c r="B160" s="29"/>
      <c r="C160" s="30"/>
      <c r="D160" s="31"/>
      <c r="E160" s="19" t="s">
        <v>117</v>
      </c>
    </row>
    <row r="161" s="15" customFormat="1" ht="22.5" customHeight="1" spans="1:5">
      <c r="A161" s="19">
        <v>480</v>
      </c>
      <c r="B161" s="29"/>
      <c r="C161" s="19"/>
      <c r="D161" s="31"/>
      <c r="E161" s="32" t="s">
        <v>118</v>
      </c>
    </row>
    <row r="162" s="15" customFormat="1" ht="22.5" customHeight="1" spans="1:5">
      <c r="A162" s="19">
        <v>481</v>
      </c>
      <c r="B162" s="29"/>
      <c r="C162" s="19"/>
      <c r="D162" s="31"/>
      <c r="E162" s="32" t="s">
        <v>118</v>
      </c>
    </row>
    <row r="163" s="11" customFormat="1" spans="1:6">
      <c r="A163" s="19">
        <v>482</v>
      </c>
      <c r="B163" s="29"/>
      <c r="C163" s="32"/>
      <c r="D163" s="31"/>
      <c r="E163" s="32" t="s">
        <v>118</v>
      </c>
      <c r="F163" s="15"/>
    </row>
    <row r="164" s="15" customFormat="1" ht="22.5" customHeight="1" spans="1:5">
      <c r="A164" s="19">
        <v>483</v>
      </c>
      <c r="B164" s="29"/>
      <c r="C164" s="19"/>
      <c r="D164" s="31"/>
      <c r="E164" s="32" t="s">
        <v>118</v>
      </c>
    </row>
    <row r="165" s="11" customFormat="1" spans="1:6">
      <c r="A165" s="19">
        <v>484</v>
      </c>
      <c r="B165" s="29" t="s">
        <v>93</v>
      </c>
      <c r="C165" s="30"/>
      <c r="D165" s="38"/>
      <c r="E165" s="32" t="s">
        <v>118</v>
      </c>
      <c r="F165" s="15"/>
    </row>
    <row r="166" s="15" customFormat="1" ht="11.25" spans="1:5">
      <c r="A166" s="19">
        <v>485</v>
      </c>
      <c r="B166" s="29"/>
      <c r="C166" s="30"/>
      <c r="D166" s="31"/>
      <c r="E166" s="32" t="s">
        <v>118</v>
      </c>
    </row>
    <row r="167" s="11" customFormat="1" ht="64" customHeight="1" spans="1:6">
      <c r="A167" s="19">
        <v>280</v>
      </c>
      <c r="B167" s="29" t="s">
        <v>129</v>
      </c>
      <c r="C167" s="30"/>
      <c r="D167" s="31"/>
      <c r="E167" s="19" t="s">
        <v>117</v>
      </c>
      <c r="F167" s="15"/>
    </row>
    <row r="168" s="11" customFormat="1" spans="1:6">
      <c r="A168" s="19">
        <v>281</v>
      </c>
      <c r="B168" s="29"/>
      <c r="C168" s="32"/>
      <c r="D168" s="31"/>
      <c r="E168" s="32" t="s">
        <v>117</v>
      </c>
      <c r="F168" s="15"/>
    </row>
    <row r="169" s="11" customFormat="1" spans="1:6">
      <c r="A169" s="19">
        <v>282</v>
      </c>
      <c r="B169" s="29"/>
      <c r="C169" s="32"/>
      <c r="D169" s="31"/>
      <c r="E169" s="19" t="s">
        <v>117</v>
      </c>
      <c r="F169" s="15"/>
    </row>
    <row r="170" s="13" customFormat="1" ht="24" customHeight="1" spans="1:6">
      <c r="A170" s="19">
        <v>283</v>
      </c>
      <c r="B170" s="29"/>
      <c r="C170" s="30"/>
      <c r="D170" s="31"/>
      <c r="E170" s="19" t="s">
        <v>117</v>
      </c>
      <c r="F170" s="15"/>
    </row>
    <row r="171" s="11" customFormat="1" spans="1:6">
      <c r="A171" s="19">
        <v>486</v>
      </c>
      <c r="B171" s="29"/>
      <c r="C171" s="32"/>
      <c r="D171" s="45"/>
      <c r="E171" s="33" t="s">
        <v>118</v>
      </c>
      <c r="F171" s="15"/>
    </row>
    <row r="172" s="11" customFormat="1" spans="1:6">
      <c r="A172" s="19"/>
      <c r="B172" s="29"/>
      <c r="C172" s="30"/>
      <c r="D172" s="31"/>
      <c r="E172" s="32" t="s">
        <v>118</v>
      </c>
      <c r="F172" s="15"/>
    </row>
    <row r="173" s="13" customFormat="1" ht="24" customHeight="1" spans="1:6">
      <c r="A173" s="19">
        <v>487</v>
      </c>
      <c r="B173" s="29"/>
      <c r="C173" s="32"/>
      <c r="D173" s="41"/>
      <c r="E173" s="32" t="s">
        <v>118</v>
      </c>
      <c r="F173" s="15"/>
    </row>
    <row r="174" s="15" customFormat="1" ht="11.25" spans="1:5">
      <c r="A174" s="19">
        <v>284</v>
      </c>
      <c r="B174" s="29" t="s">
        <v>97</v>
      </c>
      <c r="C174" s="32"/>
      <c r="D174" s="31"/>
      <c r="E174" s="32" t="s">
        <v>117</v>
      </c>
    </row>
    <row r="175" s="14" customFormat="1" ht="26" customHeight="1" spans="1:6">
      <c r="A175" s="19">
        <v>285</v>
      </c>
      <c r="B175" s="29"/>
      <c r="C175" s="30"/>
      <c r="D175" s="31"/>
      <c r="E175" s="19" t="s">
        <v>117</v>
      </c>
      <c r="F175" s="34"/>
    </row>
    <row r="176" s="15" customFormat="1" ht="11.25" spans="1:5">
      <c r="A176" s="19">
        <v>488</v>
      </c>
      <c r="B176" s="29"/>
      <c r="C176" s="32"/>
      <c r="D176" s="31"/>
      <c r="E176" s="32" t="s">
        <v>118</v>
      </c>
    </row>
    <row r="177" s="15" customFormat="1" ht="31" customHeight="1" spans="1:5">
      <c r="A177" s="19">
        <v>489</v>
      </c>
      <c r="B177" s="29"/>
      <c r="C177" s="19"/>
      <c r="D177" s="31"/>
      <c r="E177" s="32" t="s">
        <v>118</v>
      </c>
    </row>
    <row r="178" s="15" customFormat="1" ht="11.25" spans="1:5">
      <c r="A178" s="19">
        <v>490</v>
      </c>
      <c r="B178" s="29"/>
      <c r="C178" s="32"/>
      <c r="D178" s="31"/>
      <c r="E178" s="32" t="s">
        <v>118</v>
      </c>
    </row>
    <row r="179" s="15" customFormat="1" ht="22" customHeight="1" spans="1:5">
      <c r="A179" s="19">
        <v>394</v>
      </c>
      <c r="B179" s="29" t="s">
        <v>91</v>
      </c>
      <c r="C179" s="32"/>
      <c r="D179" s="31"/>
      <c r="E179" s="19" t="s">
        <v>117</v>
      </c>
    </row>
    <row r="180" s="11" customFormat="1" spans="1:6">
      <c r="A180" s="19">
        <v>395</v>
      </c>
      <c r="B180" s="29"/>
      <c r="C180" s="19"/>
      <c r="D180" s="31"/>
      <c r="E180" s="19" t="s">
        <v>117</v>
      </c>
      <c r="F180" s="15"/>
    </row>
    <row r="181" s="15" customFormat="1" ht="22" customHeight="1" spans="1:5">
      <c r="A181" s="19">
        <v>287</v>
      </c>
      <c r="B181" s="29" t="s">
        <v>89</v>
      </c>
      <c r="C181" s="30"/>
      <c r="D181" s="31"/>
      <c r="E181" s="19" t="s">
        <v>117</v>
      </c>
    </row>
    <row r="182" s="15" customFormat="1" ht="22" customHeight="1" spans="1:5">
      <c r="A182" s="19">
        <v>288</v>
      </c>
      <c r="B182" s="29"/>
      <c r="C182" s="30"/>
      <c r="D182" s="31"/>
      <c r="E182" s="19" t="s">
        <v>117</v>
      </c>
    </row>
    <row r="183" s="15" customFormat="1" ht="11.25" spans="1:5">
      <c r="A183" s="19">
        <v>289</v>
      </c>
      <c r="B183" s="29"/>
      <c r="C183" s="37"/>
      <c r="D183" s="38"/>
      <c r="E183" s="32" t="s">
        <v>117</v>
      </c>
    </row>
    <row r="184" s="14" customFormat="1" spans="1:6">
      <c r="A184" s="19">
        <v>290</v>
      </c>
      <c r="B184" s="29"/>
      <c r="C184" s="30"/>
      <c r="D184" s="31"/>
      <c r="E184" s="19" t="s">
        <v>117</v>
      </c>
      <c r="F184" s="34"/>
    </row>
    <row r="185" s="15" customFormat="1" ht="31" customHeight="1" spans="1:5">
      <c r="A185" s="19">
        <v>291</v>
      </c>
      <c r="B185" s="29"/>
      <c r="C185" s="32"/>
      <c r="D185" s="31"/>
      <c r="E185" s="32" t="s">
        <v>117</v>
      </c>
    </row>
    <row r="186" s="15" customFormat="1" ht="11.25" spans="1:5">
      <c r="A186" s="19">
        <v>491</v>
      </c>
      <c r="B186" s="29"/>
      <c r="C186" s="37"/>
      <c r="D186" s="31"/>
      <c r="E186" s="32" t="s">
        <v>118</v>
      </c>
    </row>
    <row r="187" s="13" customFormat="1" ht="12" spans="1:6">
      <c r="A187" s="19">
        <v>492</v>
      </c>
      <c r="B187" s="29"/>
      <c r="C187" s="37"/>
      <c r="D187" s="38"/>
      <c r="E187" s="32" t="s">
        <v>118</v>
      </c>
      <c r="F187" s="15"/>
    </row>
    <row r="188" s="13" customFormat="1" ht="24" customHeight="1" spans="1:6">
      <c r="A188" s="19">
        <v>493</v>
      </c>
      <c r="B188" s="29"/>
      <c r="C188" s="30"/>
      <c r="D188" s="31"/>
      <c r="E188" s="32" t="s">
        <v>118</v>
      </c>
      <c r="F188" s="15"/>
    </row>
    <row r="189" s="11" customFormat="1" spans="1:6">
      <c r="A189" s="19">
        <v>494</v>
      </c>
      <c r="B189" s="29"/>
      <c r="C189" s="37"/>
      <c r="D189" s="38"/>
      <c r="E189" s="32" t="s">
        <v>118</v>
      </c>
      <c r="F189" s="15"/>
    </row>
    <row r="190" s="11" customFormat="1" spans="1:6">
      <c r="A190" s="19">
        <v>495</v>
      </c>
      <c r="B190" s="29"/>
      <c r="C190" s="37"/>
      <c r="D190" s="38"/>
      <c r="E190" s="32" t="s">
        <v>118</v>
      </c>
      <c r="F190" s="15"/>
    </row>
    <row r="191" s="11" customFormat="1" spans="1:6">
      <c r="A191" s="19">
        <v>496</v>
      </c>
      <c r="B191" s="29"/>
      <c r="C191" s="37"/>
      <c r="D191" s="38"/>
      <c r="E191" s="32" t="s">
        <v>118</v>
      </c>
      <c r="F191" s="15"/>
    </row>
    <row r="192" s="11" customFormat="1" spans="1:6">
      <c r="A192" s="19">
        <v>497</v>
      </c>
      <c r="B192" s="29"/>
      <c r="C192" s="19"/>
      <c r="D192" s="38"/>
      <c r="E192" s="19" t="s">
        <v>118</v>
      </c>
      <c r="F192" s="15"/>
    </row>
    <row r="193" s="14" customFormat="1" spans="1:6">
      <c r="A193" s="19">
        <v>498</v>
      </c>
      <c r="B193" s="29"/>
      <c r="C193" s="30"/>
      <c r="D193" s="31"/>
      <c r="E193" s="32" t="s">
        <v>118</v>
      </c>
      <c r="F193" s="34"/>
    </row>
    <row r="194" s="11" customFormat="1" spans="1:6">
      <c r="A194" s="19">
        <v>292</v>
      </c>
      <c r="B194" s="29" t="s">
        <v>80</v>
      </c>
      <c r="C194" s="32"/>
      <c r="D194" s="31"/>
      <c r="E194" s="19" t="s">
        <v>117</v>
      </c>
      <c r="F194" s="15"/>
    </row>
    <row r="195" s="11" customFormat="1" spans="1:6">
      <c r="A195" s="19">
        <v>293</v>
      </c>
      <c r="B195" s="29"/>
      <c r="C195" s="37"/>
      <c r="D195" s="41"/>
      <c r="E195" s="32" t="s">
        <v>117</v>
      </c>
      <c r="F195" s="15"/>
    </row>
    <row r="196" s="11" customFormat="1" spans="1:6">
      <c r="A196" s="19">
        <v>294</v>
      </c>
      <c r="B196" s="29"/>
      <c r="C196" s="37"/>
      <c r="D196" s="41"/>
      <c r="E196" s="32" t="s">
        <v>117</v>
      </c>
      <c r="F196" s="15"/>
    </row>
    <row r="197" s="11" customFormat="1" ht="37" customHeight="1" spans="1:6">
      <c r="A197" s="19">
        <v>295</v>
      </c>
      <c r="B197" s="29"/>
      <c r="C197" s="32"/>
      <c r="D197" s="31"/>
      <c r="E197" s="32" t="s">
        <v>117</v>
      </c>
      <c r="F197" s="15"/>
    </row>
    <row r="198" s="11" customFormat="1" ht="25" customHeight="1" spans="1:6">
      <c r="A198" s="19">
        <v>296</v>
      </c>
      <c r="B198" s="29"/>
      <c r="C198" s="32"/>
      <c r="D198" s="31"/>
      <c r="E198" s="19" t="s">
        <v>117</v>
      </c>
      <c r="F198" s="15"/>
    </row>
    <row r="199" s="11" customFormat="1" spans="1:6">
      <c r="A199" s="19">
        <v>499</v>
      </c>
      <c r="B199" s="29"/>
      <c r="C199" s="37"/>
      <c r="D199" s="38"/>
      <c r="E199" s="32" t="s">
        <v>118</v>
      </c>
      <c r="F199" s="15"/>
    </row>
    <row r="200" s="11" customFormat="1" ht="24" customHeight="1" spans="1:6">
      <c r="A200" s="19">
        <v>500</v>
      </c>
      <c r="B200" s="29"/>
      <c r="C200" s="19"/>
      <c r="D200" s="31"/>
      <c r="E200" s="32" t="s">
        <v>118</v>
      </c>
      <c r="F200" s="15"/>
    </row>
    <row r="201" s="11" customFormat="1" ht="27" customHeight="1" spans="1:6">
      <c r="A201" s="19">
        <v>501</v>
      </c>
      <c r="B201" s="29"/>
      <c r="C201" s="32"/>
      <c r="D201" s="31"/>
      <c r="E201" s="32" t="s">
        <v>118</v>
      </c>
      <c r="F201" s="15"/>
    </row>
    <row r="202" s="11" customFormat="1" ht="26" customHeight="1" spans="1:6">
      <c r="A202" s="19">
        <v>502</v>
      </c>
      <c r="B202" s="29"/>
      <c r="C202" s="19"/>
      <c r="D202" s="31"/>
      <c r="E202" s="32" t="s">
        <v>118</v>
      </c>
      <c r="F202" s="15"/>
    </row>
    <row r="203" s="11" customFormat="1" ht="26" customHeight="1" spans="1:6">
      <c r="A203" s="19">
        <v>503</v>
      </c>
      <c r="B203" s="29"/>
      <c r="C203" s="32"/>
      <c r="D203" s="31"/>
      <c r="E203" s="32" t="s">
        <v>118</v>
      </c>
      <c r="F203" s="15"/>
    </row>
    <row r="204" s="11" customFormat="1" ht="26" customHeight="1" spans="1:6">
      <c r="A204" s="19">
        <v>504</v>
      </c>
      <c r="B204" s="29"/>
      <c r="C204" s="19"/>
      <c r="D204" s="31"/>
      <c r="E204" s="32" t="s">
        <v>118</v>
      </c>
      <c r="F204" s="15"/>
    </row>
    <row r="205" s="14" customFormat="1" ht="25" customHeight="1" spans="1:6">
      <c r="A205" s="19">
        <v>297</v>
      </c>
      <c r="B205" s="29" t="s">
        <v>83</v>
      </c>
      <c r="C205" s="32"/>
      <c r="D205" s="38"/>
      <c r="E205" s="19" t="s">
        <v>117</v>
      </c>
      <c r="F205" s="34"/>
    </row>
    <row r="206" s="11" customFormat="1" spans="1:6">
      <c r="A206" s="19">
        <v>298</v>
      </c>
      <c r="B206" s="29"/>
      <c r="C206" s="30"/>
      <c r="D206" s="31"/>
      <c r="E206" s="32" t="s">
        <v>117</v>
      </c>
      <c r="F206" s="15"/>
    </row>
    <row r="207" s="11" customFormat="1" ht="26" customHeight="1" spans="1:6">
      <c r="A207" s="19">
        <v>299</v>
      </c>
      <c r="B207" s="29"/>
      <c r="C207" s="19"/>
      <c r="D207" s="31"/>
      <c r="E207" s="32" t="s">
        <v>117</v>
      </c>
      <c r="F207" s="15"/>
    </row>
    <row r="208" s="13" customFormat="1" ht="34" customHeight="1" spans="1:6">
      <c r="A208" s="19">
        <v>300</v>
      </c>
      <c r="B208" s="29"/>
      <c r="C208" s="30"/>
      <c r="D208" s="31"/>
      <c r="E208" s="19" t="s">
        <v>117</v>
      </c>
      <c r="F208" s="15"/>
    </row>
    <row r="209" s="13" customFormat="1" ht="34" customHeight="1" spans="1:6">
      <c r="A209" s="19">
        <v>301</v>
      </c>
      <c r="B209" s="29"/>
      <c r="C209" s="19"/>
      <c r="D209" s="31"/>
      <c r="E209" s="32" t="s">
        <v>117</v>
      </c>
      <c r="F209" s="15"/>
    </row>
    <row r="210" s="11" customFormat="1" spans="1:6">
      <c r="A210" s="19">
        <v>302</v>
      </c>
      <c r="B210" s="29"/>
      <c r="C210" s="19"/>
      <c r="D210" s="31"/>
      <c r="E210" s="32" t="s">
        <v>117</v>
      </c>
      <c r="F210" s="15"/>
    </row>
    <row r="211" s="14" customFormat="1" ht="35" customHeight="1" spans="1:6">
      <c r="A211" s="19">
        <v>303</v>
      </c>
      <c r="B211" s="29"/>
      <c r="C211" s="19"/>
      <c r="D211" s="31"/>
      <c r="E211" s="19" t="s">
        <v>117</v>
      </c>
      <c r="F211" s="34"/>
    </row>
    <row r="212" s="11" customFormat="1" ht="34" customHeight="1" spans="1:6">
      <c r="A212" s="19">
        <v>505</v>
      </c>
      <c r="B212" s="29"/>
      <c r="C212" s="32"/>
      <c r="D212" s="31"/>
      <c r="E212" s="32" t="s">
        <v>118</v>
      </c>
      <c r="F212" s="15"/>
    </row>
    <row r="213" s="11" customFormat="1" spans="1:6">
      <c r="A213" s="19">
        <v>506</v>
      </c>
      <c r="B213" s="29"/>
      <c r="C213" s="19"/>
      <c r="D213" s="31"/>
      <c r="E213" s="32" t="s">
        <v>118</v>
      </c>
      <c r="F213" s="15" t="s">
        <v>126</v>
      </c>
    </row>
    <row r="214" s="15" customFormat="1" ht="35" customHeight="1" spans="1:5">
      <c r="A214" s="19">
        <v>507</v>
      </c>
      <c r="B214" s="29"/>
      <c r="C214" s="32"/>
      <c r="D214" s="31"/>
      <c r="E214" s="32" t="s">
        <v>118</v>
      </c>
    </row>
    <row r="215" s="15" customFormat="1" ht="39" customHeight="1" spans="1:5">
      <c r="A215" s="19">
        <v>508</v>
      </c>
      <c r="B215" s="29"/>
      <c r="C215" s="32"/>
      <c r="D215" s="31"/>
      <c r="E215" s="32" t="s">
        <v>118</v>
      </c>
    </row>
    <row r="216" s="15" customFormat="1" ht="35" customHeight="1" spans="1:5">
      <c r="A216" s="19">
        <v>509</v>
      </c>
      <c r="B216" s="29"/>
      <c r="C216" s="32"/>
      <c r="D216" s="31"/>
      <c r="E216" s="32" t="s">
        <v>118</v>
      </c>
    </row>
    <row r="217" s="11" customFormat="1" spans="1:6">
      <c r="A217" s="19">
        <v>510</v>
      </c>
      <c r="B217" s="29"/>
      <c r="C217" s="32"/>
      <c r="D217" s="31"/>
      <c r="E217" s="32" t="s">
        <v>118</v>
      </c>
      <c r="F217" s="15"/>
    </row>
    <row r="218" s="14" customFormat="1" ht="33" customHeight="1" spans="1:6">
      <c r="A218" s="19">
        <v>304</v>
      </c>
      <c r="B218" s="29" t="s">
        <v>79</v>
      </c>
      <c r="C218" s="19"/>
      <c r="D218" s="31"/>
      <c r="E218" s="32" t="s">
        <v>117</v>
      </c>
      <c r="F218" s="34"/>
    </row>
    <row r="219" s="14" customFormat="1" ht="25" customHeight="1" spans="1:6">
      <c r="A219" s="19">
        <v>305</v>
      </c>
      <c r="B219" s="29"/>
      <c r="C219" s="37"/>
      <c r="D219" s="38"/>
      <c r="E219" s="32" t="s">
        <v>117</v>
      </c>
      <c r="F219" s="34"/>
    </row>
    <row r="220" s="11" customFormat="1" ht="23" customHeight="1" spans="1:6">
      <c r="A220" s="19">
        <v>306</v>
      </c>
      <c r="B220" s="29"/>
      <c r="C220" s="37"/>
      <c r="D220" s="38"/>
      <c r="E220" s="32" t="s">
        <v>117</v>
      </c>
      <c r="F220" s="15"/>
    </row>
    <row r="221" s="13" customFormat="1" ht="30" customHeight="1" spans="1:6">
      <c r="A221" s="19">
        <v>307</v>
      </c>
      <c r="B221" s="29"/>
      <c r="C221" s="32"/>
      <c r="D221" s="31"/>
      <c r="E221" s="32" t="s">
        <v>117</v>
      </c>
      <c r="F221" s="15"/>
    </row>
    <row r="222" s="15" customFormat="1" ht="22.5" customHeight="1" spans="1:5">
      <c r="A222" s="19">
        <v>308</v>
      </c>
      <c r="B222" s="29"/>
      <c r="C222" s="37"/>
      <c r="D222" s="38"/>
      <c r="E222" s="32" t="s">
        <v>117</v>
      </c>
    </row>
    <row r="223" s="14" customFormat="1" spans="1:6">
      <c r="A223" s="19">
        <v>309</v>
      </c>
      <c r="B223" s="29"/>
      <c r="C223" s="37"/>
      <c r="D223" s="38"/>
      <c r="E223" s="32" t="s">
        <v>117</v>
      </c>
      <c r="F223" s="34"/>
    </row>
    <row r="224" s="15" customFormat="1" ht="24" customHeight="1" spans="1:5">
      <c r="A224" s="19">
        <v>310</v>
      </c>
      <c r="B224" s="29"/>
      <c r="C224" s="30"/>
      <c r="D224" s="31"/>
      <c r="E224" s="19" t="s">
        <v>117</v>
      </c>
    </row>
    <row r="225" s="15" customFormat="1" ht="24" customHeight="1" spans="1:5">
      <c r="A225" s="19">
        <v>511</v>
      </c>
      <c r="B225" s="29"/>
      <c r="C225" s="37"/>
      <c r="D225" s="38"/>
      <c r="E225" s="32" t="s">
        <v>118</v>
      </c>
    </row>
    <row r="226" s="15" customFormat="1" ht="24" customHeight="1" spans="1:5">
      <c r="A226" s="19">
        <v>512</v>
      </c>
      <c r="B226" s="29"/>
      <c r="C226" s="37"/>
      <c r="D226" s="38"/>
      <c r="E226" s="32" t="s">
        <v>118</v>
      </c>
    </row>
    <row r="227" s="15" customFormat="1" ht="24" customHeight="1" spans="1:5">
      <c r="A227" s="19">
        <v>513</v>
      </c>
      <c r="B227" s="29"/>
      <c r="C227" s="19"/>
      <c r="D227" s="31"/>
      <c r="E227" s="32" t="s">
        <v>118</v>
      </c>
    </row>
    <row r="228" s="11" customFormat="1" spans="1:6">
      <c r="A228" s="19">
        <v>514</v>
      </c>
      <c r="B228" s="29"/>
      <c r="C228" s="19"/>
      <c r="D228" s="31"/>
      <c r="E228" s="32" t="s">
        <v>118</v>
      </c>
      <c r="F228" s="15"/>
    </row>
    <row r="229" s="11" customFormat="1" ht="24" customHeight="1" spans="1:6">
      <c r="A229" s="19">
        <v>515</v>
      </c>
      <c r="B229" s="29"/>
      <c r="C229" s="32"/>
      <c r="D229" s="31"/>
      <c r="E229" s="32" t="s">
        <v>118</v>
      </c>
      <c r="F229" s="15"/>
    </row>
    <row r="230" s="11" customFormat="1" spans="1:6">
      <c r="A230" s="19">
        <v>516</v>
      </c>
      <c r="B230" s="29"/>
      <c r="C230" s="32"/>
      <c r="D230" s="31"/>
      <c r="E230" s="32" t="s">
        <v>118</v>
      </c>
      <c r="F230" s="15"/>
    </row>
    <row r="231" s="11" customFormat="1" spans="1:6">
      <c r="A231" s="19">
        <v>311</v>
      </c>
      <c r="B231" s="29" t="s">
        <v>94</v>
      </c>
      <c r="C231" s="30"/>
      <c r="D231" s="31"/>
      <c r="E231" s="19" t="s">
        <v>117</v>
      </c>
      <c r="F231" s="15"/>
    </row>
    <row r="232" s="13" customFormat="1" ht="26" customHeight="1" spans="1:6">
      <c r="A232" s="19">
        <v>312</v>
      </c>
      <c r="B232" s="29"/>
      <c r="C232" s="32"/>
      <c r="D232" s="31"/>
      <c r="E232" s="19" t="s">
        <v>117</v>
      </c>
      <c r="F232" s="15"/>
    </row>
    <row r="233" s="13" customFormat="1" ht="26" customHeight="1" spans="1:6">
      <c r="A233" s="19">
        <v>313</v>
      </c>
      <c r="B233" s="29"/>
      <c r="C233" s="32"/>
      <c r="D233" s="31"/>
      <c r="E233" s="19" t="s">
        <v>117</v>
      </c>
      <c r="F233" s="15"/>
    </row>
    <row r="234" s="13" customFormat="1" ht="38" customHeight="1" spans="1:6">
      <c r="A234" s="19">
        <v>314</v>
      </c>
      <c r="B234" s="29"/>
      <c r="C234" s="32"/>
      <c r="D234" s="31"/>
      <c r="E234" s="32" t="s">
        <v>117</v>
      </c>
      <c r="F234" s="15"/>
    </row>
    <row r="235" s="13" customFormat="1" ht="26" customHeight="1" spans="1:6">
      <c r="A235" s="19">
        <v>315</v>
      </c>
      <c r="B235" s="29"/>
      <c r="C235" s="30"/>
      <c r="D235" s="31"/>
      <c r="E235" s="19" t="s">
        <v>117</v>
      </c>
      <c r="F235" s="15"/>
    </row>
    <row r="236" s="13" customFormat="1" ht="26" customHeight="1" spans="1:6">
      <c r="A236" s="19">
        <v>316</v>
      </c>
      <c r="B236" s="29"/>
      <c r="C236" s="30"/>
      <c r="D236" s="31"/>
      <c r="E236" s="19" t="s">
        <v>117</v>
      </c>
      <c r="F236" s="15"/>
    </row>
    <row r="237" s="13" customFormat="1" ht="37" customHeight="1" spans="1:6">
      <c r="A237" s="19">
        <v>317</v>
      </c>
      <c r="B237" s="29"/>
      <c r="C237" s="32"/>
      <c r="D237" s="31"/>
      <c r="E237" s="19" t="s">
        <v>117</v>
      </c>
      <c r="F237" s="15"/>
    </row>
    <row r="238" s="16" customFormat="1" ht="12.75" spans="1:6">
      <c r="A238" s="19">
        <v>318</v>
      </c>
      <c r="B238" s="29"/>
      <c r="C238" s="19"/>
      <c r="D238" s="31"/>
      <c r="E238" s="19" t="s">
        <v>117</v>
      </c>
      <c r="F238" s="40"/>
    </row>
    <row r="239" s="11" customFormat="1" spans="1:6">
      <c r="A239" s="19">
        <v>517</v>
      </c>
      <c r="B239" s="29"/>
      <c r="C239" s="19"/>
      <c r="D239" s="31"/>
      <c r="E239" s="32" t="s">
        <v>118</v>
      </c>
      <c r="F239" s="15"/>
    </row>
    <row r="240" s="11" customFormat="1" ht="26" customHeight="1" spans="1:6">
      <c r="A240" s="19">
        <v>518</v>
      </c>
      <c r="B240" s="29"/>
      <c r="C240" s="19"/>
      <c r="D240" s="31"/>
      <c r="E240" s="32" t="s">
        <v>118</v>
      </c>
      <c r="F240" s="15"/>
    </row>
    <row r="241" s="11" customFormat="1" ht="26" customHeight="1" spans="1:6">
      <c r="A241" s="19">
        <v>519</v>
      </c>
      <c r="B241" s="29"/>
      <c r="C241" s="19"/>
      <c r="D241" s="31"/>
      <c r="E241" s="32" t="s">
        <v>118</v>
      </c>
      <c r="F241" s="15"/>
    </row>
    <row r="242" s="11" customFormat="1" spans="1:6">
      <c r="A242" s="19">
        <v>520</v>
      </c>
      <c r="B242" s="29"/>
      <c r="C242" s="37"/>
      <c r="D242" s="38"/>
      <c r="E242" s="32" t="s">
        <v>118</v>
      </c>
      <c r="F242" s="15"/>
    </row>
    <row r="243" s="15" customFormat="1" ht="11.25" spans="1:5">
      <c r="A243" s="19">
        <v>540</v>
      </c>
      <c r="B243" s="29"/>
      <c r="C243" s="37"/>
      <c r="D243" s="38"/>
      <c r="E243" s="32" t="s">
        <v>118</v>
      </c>
    </row>
    <row r="244" s="14" customFormat="1" spans="1:6">
      <c r="A244" s="19">
        <v>319</v>
      </c>
      <c r="B244" s="29" t="s">
        <v>84</v>
      </c>
      <c r="C244" s="30"/>
      <c r="D244" s="31"/>
      <c r="E244" s="19" t="s">
        <v>117</v>
      </c>
      <c r="F244" s="34"/>
    </row>
    <row r="245" s="13" customFormat="1" ht="35" customHeight="1" spans="1:6">
      <c r="A245" s="19">
        <v>320</v>
      </c>
      <c r="B245" s="29"/>
      <c r="C245" s="32"/>
      <c r="D245" s="31"/>
      <c r="E245" s="19" t="s">
        <v>117</v>
      </c>
      <c r="F245" s="15"/>
    </row>
    <row r="246" s="13" customFormat="1" ht="12" spans="1:6">
      <c r="A246" s="19">
        <v>321</v>
      </c>
      <c r="B246" s="29"/>
      <c r="C246" s="30"/>
      <c r="D246" s="31"/>
      <c r="E246" s="32" t="s">
        <v>117</v>
      </c>
      <c r="F246" s="15"/>
    </row>
    <row r="247" s="11" customFormat="1" ht="37" customHeight="1" spans="1:6">
      <c r="A247" s="19">
        <v>322</v>
      </c>
      <c r="B247" s="29"/>
      <c r="C247" s="19"/>
      <c r="D247" s="31"/>
      <c r="E247" s="32" t="s">
        <v>117</v>
      </c>
      <c r="F247" s="15"/>
    </row>
    <row r="248" s="11" customFormat="1" ht="27" customHeight="1" spans="1:6">
      <c r="A248" s="19">
        <v>323</v>
      </c>
      <c r="B248" s="29"/>
      <c r="C248" s="32"/>
      <c r="D248" s="31"/>
      <c r="E248" s="19" t="s">
        <v>117</v>
      </c>
      <c r="F248" s="15"/>
    </row>
    <row r="249" s="13" customFormat="1" ht="12" spans="1:6">
      <c r="A249" s="19">
        <v>521</v>
      </c>
      <c r="B249" s="29"/>
      <c r="C249" s="19"/>
      <c r="D249" s="31"/>
      <c r="E249" s="32" t="s">
        <v>118</v>
      </c>
      <c r="F249" s="15"/>
    </row>
    <row r="250" s="11" customFormat="1" spans="1:6">
      <c r="A250" s="19">
        <v>522</v>
      </c>
      <c r="B250" s="29"/>
      <c r="C250" s="30"/>
      <c r="D250" s="31"/>
      <c r="E250" s="32" t="s">
        <v>118</v>
      </c>
      <c r="F250" s="15"/>
    </row>
    <row r="251" s="11" customFormat="1" ht="25" customHeight="1" spans="1:6">
      <c r="A251" s="19">
        <v>324</v>
      </c>
      <c r="B251" s="29" t="s">
        <v>70</v>
      </c>
      <c r="C251" s="32"/>
      <c r="D251" s="31"/>
      <c r="E251" s="19" t="s">
        <v>117</v>
      </c>
      <c r="F251" s="15"/>
    </row>
    <row r="252" s="11" customFormat="1" ht="30" customHeight="1" spans="1:6">
      <c r="A252" s="19">
        <v>325</v>
      </c>
      <c r="B252" s="29"/>
      <c r="C252" s="30"/>
      <c r="D252" s="31"/>
      <c r="E252" s="19" t="s">
        <v>117</v>
      </c>
      <c r="F252" s="15"/>
    </row>
    <row r="253" s="11" customFormat="1" spans="1:6">
      <c r="A253" s="19">
        <v>326</v>
      </c>
      <c r="B253" s="29"/>
      <c r="C253" s="32"/>
      <c r="D253" s="31"/>
      <c r="E253" s="19" t="s">
        <v>117</v>
      </c>
      <c r="F253" s="15"/>
    </row>
    <row r="254" s="14" customFormat="1" ht="33" customHeight="1" spans="1:6">
      <c r="A254" s="19">
        <v>327</v>
      </c>
      <c r="B254" s="29"/>
      <c r="C254" s="19"/>
      <c r="D254" s="31"/>
      <c r="E254" s="32" t="s">
        <v>117</v>
      </c>
      <c r="F254" s="34"/>
    </row>
    <row r="255" s="13" customFormat="1" ht="28" customHeight="1" spans="1:6">
      <c r="A255" s="19">
        <v>328</v>
      </c>
      <c r="B255" s="29"/>
      <c r="C255" s="19"/>
      <c r="D255" s="31"/>
      <c r="E255" s="19" t="s">
        <v>117</v>
      </c>
      <c r="F255" s="15"/>
    </row>
    <row r="256" s="11" customFormat="1" spans="1:6">
      <c r="A256" s="19">
        <v>523</v>
      </c>
      <c r="B256" s="29"/>
      <c r="C256" s="30"/>
      <c r="D256" s="31"/>
      <c r="E256" s="32" t="s">
        <v>118</v>
      </c>
      <c r="F256" s="15"/>
    </row>
    <row r="257" s="13" customFormat="1" ht="34" customHeight="1" spans="1:6">
      <c r="A257" s="19">
        <v>524</v>
      </c>
      <c r="B257" s="29"/>
      <c r="C257" s="32"/>
      <c r="D257" s="41"/>
      <c r="E257" s="32" t="s">
        <v>118</v>
      </c>
      <c r="F257" s="15"/>
    </row>
    <row r="258" s="14" customFormat="1" ht="49" customHeight="1" spans="1:6">
      <c r="A258" s="19">
        <v>525</v>
      </c>
      <c r="B258" s="29"/>
      <c r="C258" s="32"/>
      <c r="D258" s="31"/>
      <c r="E258" s="32" t="s">
        <v>118</v>
      </c>
      <c r="F258" s="34"/>
    </row>
    <row r="259" s="13" customFormat="1" ht="45" customHeight="1" spans="1:6">
      <c r="A259" s="19">
        <v>526</v>
      </c>
      <c r="B259" s="29"/>
      <c r="C259" s="19"/>
      <c r="D259" s="31"/>
      <c r="E259" s="32" t="s">
        <v>118</v>
      </c>
      <c r="F259" s="15"/>
    </row>
    <row r="260" s="11" customFormat="1" ht="42" customHeight="1" spans="1:6">
      <c r="A260" s="19">
        <v>329</v>
      </c>
      <c r="B260" s="29" t="s">
        <v>68</v>
      </c>
      <c r="C260" s="19"/>
      <c r="D260" s="31"/>
      <c r="E260" s="19" t="s">
        <v>117</v>
      </c>
      <c r="F260" s="15"/>
    </row>
    <row r="261" s="13" customFormat="1" ht="48" customHeight="1" spans="1:6">
      <c r="A261" s="19">
        <v>330</v>
      </c>
      <c r="B261" s="29"/>
      <c r="C261" s="30"/>
      <c r="D261" s="31"/>
      <c r="E261" s="32" t="s">
        <v>117</v>
      </c>
      <c r="F261" s="15"/>
    </row>
    <row r="262" s="15" customFormat="1" ht="11.25" spans="1:5">
      <c r="A262" s="19">
        <v>331</v>
      </c>
      <c r="B262" s="29"/>
      <c r="C262" s="30"/>
      <c r="D262" s="31"/>
      <c r="E262" s="32" t="s">
        <v>117</v>
      </c>
    </row>
    <row r="263" s="11" customFormat="1" spans="1:6">
      <c r="A263" s="19">
        <v>332</v>
      </c>
      <c r="B263" s="29"/>
      <c r="C263" s="19"/>
      <c r="D263" s="31"/>
      <c r="E263" s="19" t="s">
        <v>117</v>
      </c>
      <c r="F263" s="15"/>
    </row>
    <row r="264" s="13" customFormat="1" ht="48" customHeight="1" spans="1:6">
      <c r="A264" s="19">
        <v>527</v>
      </c>
      <c r="B264" s="29"/>
      <c r="C264" s="30"/>
      <c r="D264" s="31"/>
      <c r="E264" s="32" t="s">
        <v>118</v>
      </c>
      <c r="F264" s="15"/>
    </row>
    <row r="265" s="14" customFormat="1" ht="33" customHeight="1" spans="1:6">
      <c r="A265" s="19">
        <v>528</v>
      </c>
      <c r="B265" s="29"/>
      <c r="C265" s="30"/>
      <c r="D265" s="31"/>
      <c r="E265" s="32" t="s">
        <v>118</v>
      </c>
      <c r="F265" s="34"/>
    </row>
    <row r="266" s="13" customFormat="1" ht="12" spans="1:6">
      <c r="A266" s="19">
        <v>529</v>
      </c>
      <c r="B266" s="29"/>
      <c r="C266" s="30"/>
      <c r="D266" s="31"/>
      <c r="E266" s="32" t="s">
        <v>118</v>
      </c>
      <c r="F266" s="15"/>
    </row>
    <row r="267" s="13" customFormat="1" ht="12" spans="1:6">
      <c r="A267" s="19">
        <v>530</v>
      </c>
      <c r="B267" s="29"/>
      <c r="C267" s="30"/>
      <c r="D267" s="31"/>
      <c r="E267" s="32" t="s">
        <v>118</v>
      </c>
      <c r="F267" s="15"/>
    </row>
    <row r="268" s="13" customFormat="1" ht="26" customHeight="1" spans="1:6">
      <c r="A268" s="19">
        <v>531</v>
      </c>
      <c r="B268" s="29"/>
      <c r="C268" s="30"/>
      <c r="D268" s="31"/>
      <c r="E268" s="32" t="s">
        <v>118</v>
      </c>
      <c r="F268" s="15"/>
    </row>
    <row r="269" s="13" customFormat="1" ht="27" customHeight="1" spans="1:6">
      <c r="A269" s="19">
        <v>333</v>
      </c>
      <c r="B269" s="29" t="s">
        <v>72</v>
      </c>
      <c r="C269" s="30"/>
      <c r="D269" s="31"/>
      <c r="E269" s="32" t="s">
        <v>117</v>
      </c>
      <c r="F269" s="15"/>
    </row>
    <row r="270" s="13" customFormat="1" ht="24" customHeight="1" spans="1:6">
      <c r="A270" s="19">
        <v>334</v>
      </c>
      <c r="B270" s="29"/>
      <c r="C270" s="30"/>
      <c r="D270" s="31"/>
      <c r="E270" s="19" t="s">
        <v>117</v>
      </c>
      <c r="F270" s="15"/>
    </row>
    <row r="271" s="13" customFormat="1" ht="27" customHeight="1" spans="1:6">
      <c r="A271" s="19">
        <v>335</v>
      </c>
      <c r="B271" s="29"/>
      <c r="C271" s="30"/>
      <c r="D271" s="41"/>
      <c r="E271" s="19" t="s">
        <v>117</v>
      </c>
      <c r="F271" s="15"/>
    </row>
    <row r="272" s="13" customFormat="1" ht="12" spans="1:6">
      <c r="A272" s="19">
        <v>336</v>
      </c>
      <c r="B272" s="29"/>
      <c r="C272" s="19"/>
      <c r="D272" s="31"/>
      <c r="E272" s="32" t="s">
        <v>117</v>
      </c>
      <c r="F272" s="15"/>
    </row>
    <row r="273" s="13" customFormat="1" ht="24" customHeight="1" spans="1:6">
      <c r="A273" s="19">
        <v>337</v>
      </c>
      <c r="B273" s="29"/>
      <c r="C273" s="30"/>
      <c r="D273" s="31"/>
      <c r="E273" s="19" t="s">
        <v>117</v>
      </c>
      <c r="F273" s="15"/>
    </row>
    <row r="274" s="15" customFormat="1" ht="39" customHeight="1" spans="1:5">
      <c r="A274" s="19">
        <v>338</v>
      </c>
      <c r="B274" s="29"/>
      <c r="C274" s="30"/>
      <c r="D274" s="31"/>
      <c r="E274" s="19" t="s">
        <v>117</v>
      </c>
    </row>
    <row r="275" s="15" customFormat="1" ht="35" customHeight="1" spans="1:5">
      <c r="A275" s="19">
        <v>532</v>
      </c>
      <c r="B275" s="29"/>
      <c r="C275" s="37"/>
      <c r="D275" s="38"/>
      <c r="E275" s="32" t="s">
        <v>118</v>
      </c>
    </row>
    <row r="276" s="11" customFormat="1" spans="1:6">
      <c r="A276" s="19">
        <v>533</v>
      </c>
      <c r="B276" s="29"/>
      <c r="C276" s="30"/>
      <c r="D276" s="31"/>
      <c r="E276" s="32" t="s">
        <v>118</v>
      </c>
      <c r="F276" s="15"/>
    </row>
    <row r="277" s="15" customFormat="1" ht="35" customHeight="1" spans="1:5">
      <c r="A277" s="19">
        <v>534</v>
      </c>
      <c r="B277" s="29"/>
      <c r="C277" s="19"/>
      <c r="D277" s="31"/>
      <c r="E277" s="32" t="s">
        <v>118</v>
      </c>
    </row>
    <row r="278" s="15" customFormat="1" ht="11.25" spans="1:5">
      <c r="A278" s="19">
        <v>535</v>
      </c>
      <c r="B278" s="29"/>
      <c r="C278" s="37"/>
      <c r="D278" s="38"/>
      <c r="E278" s="32" t="s">
        <v>118</v>
      </c>
    </row>
    <row r="279" s="14" customFormat="1" ht="33" customHeight="1" spans="1:6">
      <c r="A279" s="19">
        <v>536</v>
      </c>
      <c r="B279" s="29"/>
      <c r="C279" s="37"/>
      <c r="D279" s="38"/>
      <c r="E279" s="32" t="s">
        <v>118</v>
      </c>
      <c r="F279" s="34"/>
    </row>
    <row r="280" s="11" customFormat="1" spans="1:6">
      <c r="A280" s="19">
        <v>339</v>
      </c>
      <c r="B280" s="29" t="s">
        <v>77</v>
      </c>
      <c r="C280" s="32"/>
      <c r="D280" s="31"/>
      <c r="E280" s="19" t="s">
        <v>117</v>
      </c>
      <c r="F280" s="15"/>
    </row>
    <row r="281" s="15" customFormat="1" ht="25" customHeight="1" spans="1:5">
      <c r="A281" s="19">
        <v>340</v>
      </c>
      <c r="B281" s="29"/>
      <c r="C281" s="32"/>
      <c r="D281" s="31"/>
      <c r="E281" s="19" t="s">
        <v>117</v>
      </c>
    </row>
    <row r="282" s="15" customFormat="1" ht="35" customHeight="1" spans="1:5">
      <c r="A282" s="19">
        <v>342</v>
      </c>
      <c r="B282" s="29"/>
      <c r="C282" s="32"/>
      <c r="D282" s="41"/>
      <c r="E282" s="19" t="s">
        <v>117</v>
      </c>
    </row>
    <row r="283" s="11" customFormat="1" ht="36" customHeight="1" spans="1:6">
      <c r="A283" s="19">
        <v>343</v>
      </c>
      <c r="B283" s="29"/>
      <c r="C283" s="32"/>
      <c r="D283" s="31"/>
      <c r="E283" s="19" t="s">
        <v>117</v>
      </c>
      <c r="F283" s="46" t="s">
        <v>126</v>
      </c>
    </row>
    <row r="284" s="15" customFormat="1" ht="11.25" spans="1:5">
      <c r="A284" s="19">
        <v>537</v>
      </c>
      <c r="B284" s="29"/>
      <c r="C284" s="19"/>
      <c r="D284" s="31"/>
      <c r="E284" s="32" t="s">
        <v>118</v>
      </c>
    </row>
    <row r="285" s="15" customFormat="1" ht="36" customHeight="1" spans="1:5">
      <c r="A285" s="19">
        <v>538</v>
      </c>
      <c r="B285" s="29"/>
      <c r="C285" s="37"/>
      <c r="D285" s="38"/>
      <c r="E285" s="32" t="s">
        <v>118</v>
      </c>
    </row>
    <row r="286" s="15" customFormat="1" ht="34" customHeight="1" spans="1:5">
      <c r="A286" s="19">
        <v>539</v>
      </c>
      <c r="B286" s="29"/>
      <c r="C286" s="32"/>
      <c r="D286" s="41"/>
      <c r="E286" s="32" t="s">
        <v>118</v>
      </c>
    </row>
    <row r="287" s="13" customFormat="1" ht="12" spans="1:6">
      <c r="A287" s="19">
        <v>541</v>
      </c>
      <c r="B287" s="29"/>
      <c r="C287" s="32"/>
      <c r="D287" s="41"/>
      <c r="E287" s="32" t="s">
        <v>118</v>
      </c>
      <c r="F287" s="15"/>
    </row>
    <row r="288" s="14" customFormat="1" ht="33" customHeight="1" spans="1:6">
      <c r="A288" s="19">
        <v>344</v>
      </c>
      <c r="B288" s="29" t="s">
        <v>66</v>
      </c>
      <c r="C288" s="37"/>
      <c r="D288" s="38"/>
      <c r="E288" s="19" t="s">
        <v>117</v>
      </c>
      <c r="F288" s="34"/>
    </row>
    <row r="289" s="13" customFormat="1" ht="37" customHeight="1" spans="1:6">
      <c r="A289" s="19">
        <v>345</v>
      </c>
      <c r="B289" s="29"/>
      <c r="C289" s="30"/>
      <c r="D289" s="31"/>
      <c r="E289" s="32" t="s">
        <v>117</v>
      </c>
      <c r="F289" s="15"/>
    </row>
    <row r="290" s="15" customFormat="1" ht="35" customHeight="1" spans="1:5">
      <c r="A290" s="19">
        <v>346</v>
      </c>
      <c r="B290" s="29"/>
      <c r="C290" s="32"/>
      <c r="D290" s="31"/>
      <c r="E290" s="32" t="s">
        <v>117</v>
      </c>
    </row>
    <row r="291" s="11" customFormat="1" ht="28" customHeight="1" spans="1:6">
      <c r="A291" s="19">
        <v>347</v>
      </c>
      <c r="B291" s="29"/>
      <c r="C291" s="32"/>
      <c r="D291" s="31"/>
      <c r="E291" s="19" t="s">
        <v>117</v>
      </c>
      <c r="F291" s="15"/>
    </row>
    <row r="292" s="11" customFormat="1" spans="1:6">
      <c r="A292" s="19">
        <v>348</v>
      </c>
      <c r="B292" s="29"/>
      <c r="C292" s="30"/>
      <c r="D292" s="31"/>
      <c r="E292" s="19" t="s">
        <v>117</v>
      </c>
      <c r="F292" s="15"/>
    </row>
    <row r="293" s="11" customFormat="1" ht="39" customHeight="1" spans="1:6">
      <c r="A293" s="19">
        <v>349</v>
      </c>
      <c r="B293" s="29"/>
      <c r="C293" s="32"/>
      <c r="D293" s="41"/>
      <c r="E293" s="32" t="s">
        <v>117</v>
      </c>
      <c r="F293" s="15"/>
    </row>
    <row r="294" s="15" customFormat="1" ht="11.25" spans="1:5">
      <c r="A294" s="19">
        <v>350</v>
      </c>
      <c r="B294" s="29"/>
      <c r="C294" s="32"/>
      <c r="D294" s="31"/>
      <c r="E294" s="19" t="s">
        <v>117</v>
      </c>
    </row>
    <row r="295" s="15" customFormat="1" ht="11.25" spans="1:5">
      <c r="A295" s="19">
        <v>351</v>
      </c>
      <c r="B295" s="29"/>
      <c r="C295" s="19"/>
      <c r="D295" s="31"/>
      <c r="E295" s="19" t="s">
        <v>117</v>
      </c>
    </row>
    <row r="296" s="15" customFormat="1" ht="35" customHeight="1" spans="1:5">
      <c r="A296" s="19">
        <v>352</v>
      </c>
      <c r="B296" s="29"/>
      <c r="C296" s="19"/>
      <c r="D296" s="31"/>
      <c r="E296" s="19" t="s">
        <v>117</v>
      </c>
    </row>
    <row r="297" s="15" customFormat="1" ht="11.25" spans="1:5">
      <c r="A297" s="19">
        <v>353</v>
      </c>
      <c r="B297" s="29"/>
      <c r="C297" s="32"/>
      <c r="D297" s="31"/>
      <c r="E297" s="19" t="s">
        <v>117</v>
      </c>
    </row>
    <row r="298" s="11" customFormat="1" ht="35" customHeight="1" spans="1:6">
      <c r="A298" s="19">
        <v>354</v>
      </c>
      <c r="B298" s="29"/>
      <c r="C298" s="19"/>
      <c r="D298" s="31"/>
      <c r="E298" s="32" t="s">
        <v>117</v>
      </c>
      <c r="F298" s="15"/>
    </row>
    <row r="299" s="15" customFormat="1" ht="35" customHeight="1" spans="1:5">
      <c r="A299" s="19">
        <v>355</v>
      </c>
      <c r="B299" s="29"/>
      <c r="C299" s="32"/>
      <c r="D299" s="31"/>
      <c r="E299" s="19" t="s">
        <v>117</v>
      </c>
    </row>
    <row r="300" s="14" customFormat="1" ht="33" customHeight="1" spans="1:6">
      <c r="A300" s="19">
        <v>543</v>
      </c>
      <c r="B300" s="29"/>
      <c r="C300" s="19"/>
      <c r="D300" s="31"/>
      <c r="E300" s="32" t="s">
        <v>118</v>
      </c>
      <c r="F300" s="34"/>
    </row>
    <row r="301" s="13" customFormat="1" ht="27" customHeight="1" spans="1:6">
      <c r="A301" s="19">
        <v>544</v>
      </c>
      <c r="B301" s="29"/>
      <c r="C301" s="19"/>
      <c r="D301" s="31"/>
      <c r="E301" s="32" t="s">
        <v>118</v>
      </c>
      <c r="F301" s="15"/>
    </row>
    <row r="302" s="14" customFormat="1" ht="40" customHeight="1" spans="1:6">
      <c r="A302" s="19">
        <v>546</v>
      </c>
      <c r="B302" s="29"/>
      <c r="C302" s="19"/>
      <c r="D302" s="31"/>
      <c r="E302" s="32" t="s">
        <v>118</v>
      </c>
      <c r="F302" s="34"/>
    </row>
    <row r="303" s="11" customFormat="1" ht="23" customHeight="1" spans="1:6">
      <c r="A303" s="19">
        <v>547</v>
      </c>
      <c r="B303" s="29"/>
      <c r="C303" s="19"/>
      <c r="D303" s="31"/>
      <c r="E303" s="32" t="s">
        <v>118</v>
      </c>
      <c r="F303" s="15"/>
    </row>
    <row r="304" s="11" customFormat="1" spans="1:6">
      <c r="A304" s="19">
        <v>548</v>
      </c>
      <c r="B304" s="29"/>
      <c r="C304" s="19"/>
      <c r="D304" s="31"/>
      <c r="E304" s="32" t="s">
        <v>118</v>
      </c>
      <c r="F304" s="15"/>
    </row>
    <row r="305" s="11" customFormat="1" ht="25" customHeight="1" spans="1:6">
      <c r="A305" s="19">
        <v>549</v>
      </c>
      <c r="B305" s="29"/>
      <c r="C305" s="19"/>
      <c r="D305" s="31"/>
      <c r="E305" s="32" t="s">
        <v>118</v>
      </c>
      <c r="F305" s="15"/>
    </row>
    <row r="306" s="11" customFormat="1" ht="22" customHeight="1" spans="1:6">
      <c r="A306" s="19">
        <v>551</v>
      </c>
      <c r="B306" s="29"/>
      <c r="C306" s="19"/>
      <c r="D306" s="31"/>
      <c r="E306" s="32" t="s">
        <v>118</v>
      </c>
      <c r="F306" s="15"/>
    </row>
    <row r="307" s="14" customFormat="1" ht="24" customHeight="1" spans="1:6">
      <c r="A307" s="19">
        <v>552</v>
      </c>
      <c r="B307" s="29"/>
      <c r="C307" s="19"/>
      <c r="D307" s="31"/>
      <c r="E307" s="32" t="s">
        <v>118</v>
      </c>
      <c r="F307" s="34"/>
    </row>
    <row r="308" s="14" customFormat="1" ht="24" customHeight="1" spans="1:6">
      <c r="A308" s="19">
        <v>553</v>
      </c>
      <c r="B308" s="29"/>
      <c r="C308" s="32"/>
      <c r="D308" s="31"/>
      <c r="E308" s="32" t="s">
        <v>118</v>
      </c>
      <c r="F308" s="34"/>
    </row>
    <row r="309" s="11" customFormat="1" ht="23" customHeight="1" spans="1:6">
      <c r="A309" s="19">
        <v>554</v>
      </c>
      <c r="B309" s="29"/>
      <c r="C309" s="19"/>
      <c r="D309" s="31"/>
      <c r="E309" s="32" t="s">
        <v>118</v>
      </c>
      <c r="F309" s="15"/>
    </row>
    <row r="310" s="11" customFormat="1" ht="23" customHeight="1" spans="1:6">
      <c r="A310" s="19">
        <v>555</v>
      </c>
      <c r="B310" s="29"/>
      <c r="C310" s="19"/>
      <c r="D310" s="31"/>
      <c r="E310" s="32" t="s">
        <v>118</v>
      </c>
      <c r="F310" s="15"/>
    </row>
    <row r="311" s="11" customFormat="1" spans="1:6">
      <c r="A311" s="19">
        <v>556</v>
      </c>
      <c r="B311" s="29"/>
      <c r="C311" s="19"/>
      <c r="D311" s="31"/>
      <c r="E311" s="32" t="s">
        <v>118</v>
      </c>
      <c r="F311" s="15"/>
    </row>
    <row r="312" s="11" customFormat="1" spans="1:6">
      <c r="A312" s="19">
        <v>557</v>
      </c>
      <c r="B312" s="29"/>
      <c r="C312" s="32"/>
      <c r="D312" s="31"/>
      <c r="E312" s="32" t="s">
        <v>118</v>
      </c>
      <c r="F312" s="15"/>
    </row>
    <row r="313" s="11" customFormat="1" ht="23" customHeight="1" spans="1:6">
      <c r="A313" s="19">
        <v>558</v>
      </c>
      <c r="B313" s="29"/>
      <c r="C313" s="19"/>
      <c r="D313" s="31"/>
      <c r="E313" s="32" t="s">
        <v>118</v>
      </c>
      <c r="F313" s="15"/>
    </row>
    <row r="314" s="14" customFormat="1" ht="33" customHeight="1" spans="1:6">
      <c r="A314" s="19">
        <v>559</v>
      </c>
      <c r="B314" s="29"/>
      <c r="C314" s="19"/>
      <c r="D314" s="31"/>
      <c r="E314" s="32" t="s">
        <v>118</v>
      </c>
      <c r="F314" s="34"/>
    </row>
    <row r="315" s="14" customFormat="1" ht="33" customHeight="1" spans="1:6">
      <c r="A315" s="19">
        <v>356</v>
      </c>
      <c r="B315" s="29" t="s">
        <v>64</v>
      </c>
      <c r="C315" s="32"/>
      <c r="D315" s="31"/>
      <c r="E315" s="19" t="s">
        <v>117</v>
      </c>
      <c r="F315" s="34"/>
    </row>
    <row r="316" s="11" customFormat="1" ht="23" customHeight="1" spans="1:6">
      <c r="A316" s="19">
        <v>357</v>
      </c>
      <c r="B316" s="29"/>
      <c r="C316" s="32"/>
      <c r="D316" s="38"/>
      <c r="E316" s="32" t="s">
        <v>117</v>
      </c>
      <c r="F316" s="15"/>
    </row>
    <row r="317" s="11" customFormat="1" spans="1:6">
      <c r="A317" s="19">
        <v>358</v>
      </c>
      <c r="B317" s="29"/>
      <c r="C317" s="30"/>
      <c r="D317" s="31"/>
      <c r="E317" s="19" t="s">
        <v>117</v>
      </c>
      <c r="F317" s="15"/>
    </row>
    <row r="318" s="11" customFormat="1" spans="1:6">
      <c r="A318" s="19">
        <v>359</v>
      </c>
      <c r="B318" s="29"/>
      <c r="C318" s="19"/>
      <c r="D318" s="31"/>
      <c r="E318" s="19" t="s">
        <v>117</v>
      </c>
      <c r="F318" s="15"/>
    </row>
    <row r="319" s="11" customFormat="1" ht="27" customHeight="1" spans="1:6">
      <c r="A319" s="19">
        <v>360</v>
      </c>
      <c r="B319" s="29"/>
      <c r="C319" s="19"/>
      <c r="D319" s="38"/>
      <c r="E319" s="32" t="s">
        <v>117</v>
      </c>
      <c r="F319" s="15"/>
    </row>
    <row r="320" s="15" customFormat="1" ht="11.25" spans="1:5">
      <c r="A320" s="19">
        <v>361</v>
      </c>
      <c r="B320" s="29"/>
      <c r="C320" s="32"/>
      <c r="D320" s="31"/>
      <c r="E320" s="19" t="s">
        <v>117</v>
      </c>
    </row>
    <row r="321" s="15" customFormat="1" ht="11.25" spans="1:5">
      <c r="A321" s="19">
        <v>362</v>
      </c>
      <c r="B321" s="29"/>
      <c r="C321" s="32"/>
      <c r="D321" s="31"/>
      <c r="E321" s="19" t="s">
        <v>117</v>
      </c>
    </row>
    <row r="322" s="15" customFormat="1" ht="11.25" spans="1:5">
      <c r="A322" s="19">
        <v>363</v>
      </c>
      <c r="B322" s="29"/>
      <c r="C322" s="32"/>
      <c r="D322" s="31"/>
      <c r="E322" s="19" t="s">
        <v>117</v>
      </c>
    </row>
    <row r="323" s="15" customFormat="1" ht="26" customHeight="1" spans="1:5">
      <c r="A323" s="19">
        <v>364</v>
      </c>
      <c r="B323" s="29"/>
      <c r="C323" s="32"/>
      <c r="D323" s="31"/>
      <c r="E323" s="32" t="s">
        <v>117</v>
      </c>
    </row>
    <row r="324" s="11" customFormat="1" spans="1:6">
      <c r="A324" s="19">
        <v>365</v>
      </c>
      <c r="B324" s="29"/>
      <c r="C324" s="19"/>
      <c r="D324" s="31"/>
      <c r="E324" s="32" t="s">
        <v>117</v>
      </c>
      <c r="F324" s="15"/>
    </row>
    <row r="325" s="15" customFormat="1" ht="26" customHeight="1" spans="1:5">
      <c r="A325" s="19">
        <v>366</v>
      </c>
      <c r="B325" s="29"/>
      <c r="C325" s="37"/>
      <c r="D325" s="38"/>
      <c r="E325" s="19" t="s">
        <v>117</v>
      </c>
    </row>
    <row r="326" s="15" customFormat="1" ht="11.25" spans="1:5">
      <c r="A326" s="19">
        <v>367</v>
      </c>
      <c r="B326" s="29"/>
      <c r="C326" s="32"/>
      <c r="D326" s="31"/>
      <c r="E326" s="19" t="s">
        <v>117</v>
      </c>
    </row>
    <row r="327" s="15" customFormat="1" ht="26" customHeight="1" spans="1:5">
      <c r="A327" s="19">
        <v>560</v>
      </c>
      <c r="B327" s="29"/>
      <c r="C327" s="19"/>
      <c r="D327" s="31"/>
      <c r="E327" s="32" t="s">
        <v>118</v>
      </c>
    </row>
    <row r="328" s="15" customFormat="1" ht="11.25" spans="1:5">
      <c r="A328" s="19">
        <v>561</v>
      </c>
      <c r="B328" s="29"/>
      <c r="C328" s="32"/>
      <c r="D328" s="31"/>
      <c r="E328" s="32" t="s">
        <v>118</v>
      </c>
    </row>
    <row r="329" s="15" customFormat="1" ht="26" customHeight="1" spans="1:5">
      <c r="A329" s="19">
        <v>562</v>
      </c>
      <c r="B329" s="29"/>
      <c r="C329" s="32"/>
      <c r="D329" s="31"/>
      <c r="E329" s="32" t="s">
        <v>118</v>
      </c>
    </row>
    <row r="330" s="11" customFormat="1" ht="23" customHeight="1" spans="1:6">
      <c r="A330" s="19">
        <v>563</v>
      </c>
      <c r="B330" s="29"/>
      <c r="C330" s="32"/>
      <c r="D330" s="31"/>
      <c r="E330" s="32" t="s">
        <v>118</v>
      </c>
      <c r="F330" s="15"/>
    </row>
    <row r="331" s="15" customFormat="1" ht="11.25" spans="1:5">
      <c r="A331" s="19">
        <v>564</v>
      </c>
      <c r="B331" s="29"/>
      <c r="C331" s="32"/>
      <c r="D331" s="31"/>
      <c r="E331" s="32" t="s">
        <v>118</v>
      </c>
    </row>
    <row r="332" s="15" customFormat="1" ht="11.25" spans="1:5">
      <c r="A332" s="19">
        <v>565</v>
      </c>
      <c r="B332" s="29"/>
      <c r="C332" s="19"/>
      <c r="D332" s="31"/>
      <c r="E332" s="32" t="s">
        <v>118</v>
      </c>
    </row>
    <row r="333" s="14" customFormat="1" ht="33" customHeight="1" spans="1:6">
      <c r="A333" s="19">
        <v>566</v>
      </c>
      <c r="B333" s="29"/>
      <c r="C333" s="19"/>
      <c r="D333" s="31"/>
      <c r="E333" s="32" t="s">
        <v>118</v>
      </c>
      <c r="F333" s="34"/>
    </row>
    <row r="334" s="15" customFormat="1" ht="11.25" spans="1:5">
      <c r="A334" s="19">
        <v>567</v>
      </c>
      <c r="B334" s="29"/>
      <c r="C334" s="32"/>
      <c r="D334" s="31"/>
      <c r="E334" s="32" t="s">
        <v>118</v>
      </c>
    </row>
    <row r="335" s="15" customFormat="1" ht="11.25" spans="1:5">
      <c r="A335" s="19">
        <v>568</v>
      </c>
      <c r="B335" s="29"/>
      <c r="C335" s="32"/>
      <c r="D335" s="31"/>
      <c r="E335" s="32" t="s">
        <v>118</v>
      </c>
    </row>
    <row r="336" s="11" customFormat="1" ht="23" customHeight="1" spans="1:6">
      <c r="A336" s="19">
        <v>569</v>
      </c>
      <c r="B336" s="29"/>
      <c r="C336" s="32"/>
      <c r="D336" s="31"/>
      <c r="E336" s="32" t="s">
        <v>118</v>
      </c>
      <c r="F336" s="15"/>
    </row>
    <row r="337" s="13" customFormat="1" ht="12" spans="1:6">
      <c r="A337" s="19">
        <v>570</v>
      </c>
      <c r="B337" s="29"/>
      <c r="C337" s="19"/>
      <c r="D337" s="31"/>
      <c r="E337" s="32" t="s">
        <v>118</v>
      </c>
      <c r="F337" s="15"/>
    </row>
    <row r="338" s="15" customFormat="1" ht="23" customHeight="1" spans="1:5">
      <c r="A338" s="19">
        <v>571</v>
      </c>
      <c r="B338" s="29"/>
      <c r="C338" s="32"/>
      <c r="D338" s="41"/>
      <c r="E338" s="32" t="s">
        <v>118</v>
      </c>
    </row>
    <row r="339" s="15" customFormat="1" ht="21" customHeight="1" spans="1:5">
      <c r="A339" s="19">
        <v>368</v>
      </c>
      <c r="B339" s="29" t="s">
        <v>74</v>
      </c>
      <c r="C339" s="32"/>
      <c r="D339" s="31"/>
      <c r="E339" s="19" t="s">
        <v>117</v>
      </c>
    </row>
    <row r="340" s="15" customFormat="1" ht="24" customHeight="1" spans="1:5">
      <c r="A340" s="19">
        <v>369</v>
      </c>
      <c r="B340" s="29"/>
      <c r="C340" s="19"/>
      <c r="D340" s="31"/>
      <c r="E340" s="19" t="s">
        <v>117</v>
      </c>
    </row>
    <row r="341" s="15" customFormat="1" ht="24" customHeight="1" spans="1:5">
      <c r="A341" s="19">
        <v>370</v>
      </c>
      <c r="B341" s="29"/>
      <c r="C341" s="32"/>
      <c r="D341" s="31"/>
      <c r="E341" s="32" t="s">
        <v>117</v>
      </c>
    </row>
    <row r="342" s="11" customFormat="1" ht="23" customHeight="1" spans="1:6">
      <c r="A342" s="19">
        <v>371</v>
      </c>
      <c r="B342" s="29"/>
      <c r="C342" s="30"/>
      <c r="D342" s="31"/>
      <c r="E342" s="19" t="s">
        <v>117</v>
      </c>
      <c r="F342" s="15"/>
    </row>
    <row r="343" s="14" customFormat="1" ht="33" customHeight="1" spans="1:6">
      <c r="A343" s="19">
        <v>573</v>
      </c>
      <c r="B343" s="29"/>
      <c r="C343" s="19"/>
      <c r="D343" s="31"/>
      <c r="E343" s="32" t="s">
        <v>118</v>
      </c>
      <c r="F343" s="34"/>
    </row>
    <row r="344" s="14" customFormat="1" ht="33" customHeight="1" spans="1:6">
      <c r="A344" s="19">
        <v>574</v>
      </c>
      <c r="B344" s="29"/>
      <c r="C344" s="32"/>
      <c r="D344" s="31"/>
      <c r="E344" s="32" t="s">
        <v>118</v>
      </c>
      <c r="F344" s="34"/>
    </row>
    <row r="345" s="15" customFormat="1" ht="27" customHeight="1" spans="1:5">
      <c r="A345" s="19">
        <v>575</v>
      </c>
      <c r="B345" s="29"/>
      <c r="C345" s="32"/>
      <c r="D345" s="31"/>
      <c r="E345" s="32" t="s">
        <v>118</v>
      </c>
    </row>
    <row r="346" s="14" customFormat="1" ht="33" customHeight="1" spans="1:6">
      <c r="A346" s="19">
        <v>576</v>
      </c>
      <c r="B346" s="29"/>
      <c r="C346" s="32"/>
      <c r="D346" s="31"/>
      <c r="E346" s="32" t="s">
        <v>118</v>
      </c>
      <c r="F346" s="34"/>
    </row>
    <row r="347" s="14" customFormat="1" ht="33" customHeight="1" spans="1:6">
      <c r="A347" s="19">
        <v>577</v>
      </c>
      <c r="B347" s="29"/>
      <c r="C347" s="32"/>
      <c r="D347" s="31"/>
      <c r="E347" s="32" t="s">
        <v>118</v>
      </c>
      <c r="F347" s="34"/>
    </row>
    <row r="348" s="13" customFormat="1" ht="35" customHeight="1" spans="1:6">
      <c r="A348" s="19">
        <v>372</v>
      </c>
      <c r="B348" s="29" t="s">
        <v>69</v>
      </c>
      <c r="C348" s="32"/>
      <c r="D348" s="31"/>
      <c r="E348" s="32" t="s">
        <v>117</v>
      </c>
      <c r="F348" s="15"/>
    </row>
    <row r="349" s="14" customFormat="1" ht="33" customHeight="1" spans="1:6">
      <c r="A349" s="19">
        <v>373</v>
      </c>
      <c r="B349" s="29"/>
      <c r="C349" s="30"/>
      <c r="D349" s="31"/>
      <c r="E349" s="19" t="s">
        <v>117</v>
      </c>
      <c r="F349" s="34"/>
    </row>
    <row r="350" s="15" customFormat="1" ht="27" customHeight="1" spans="1:5">
      <c r="A350" s="19">
        <v>374</v>
      </c>
      <c r="B350" s="29"/>
      <c r="C350" s="32"/>
      <c r="D350" s="31"/>
      <c r="E350" s="19" t="s">
        <v>117</v>
      </c>
    </row>
    <row r="351" s="15" customFormat="1" ht="27" customHeight="1" spans="1:5">
      <c r="A351" s="19">
        <v>375</v>
      </c>
      <c r="B351" s="29"/>
      <c r="C351" s="30"/>
      <c r="D351" s="31"/>
      <c r="E351" s="32" t="s">
        <v>117</v>
      </c>
    </row>
    <row r="352" s="15" customFormat="1" ht="11.25" spans="1:5">
      <c r="A352" s="19">
        <v>578</v>
      </c>
      <c r="B352" s="29"/>
      <c r="C352" s="30"/>
      <c r="D352" s="41"/>
      <c r="E352" s="32" t="s">
        <v>118</v>
      </c>
    </row>
    <row r="353" s="14" customFormat="1" ht="33" customHeight="1" spans="1:6">
      <c r="A353" s="19">
        <v>579</v>
      </c>
      <c r="B353" s="29"/>
      <c r="C353" s="32"/>
      <c r="D353" s="31"/>
      <c r="E353" s="32" t="s">
        <v>118</v>
      </c>
      <c r="F353" s="34"/>
    </row>
    <row r="354" s="14" customFormat="1" ht="33" customHeight="1" spans="1:6">
      <c r="A354" s="19">
        <v>580</v>
      </c>
      <c r="B354" s="29"/>
      <c r="C354" s="32"/>
      <c r="D354" s="31"/>
      <c r="E354" s="32" t="s">
        <v>118</v>
      </c>
      <c r="F354" s="34"/>
    </row>
    <row r="355" s="11" customFormat="1" ht="38" customHeight="1" spans="1:6">
      <c r="A355" s="19">
        <v>581</v>
      </c>
      <c r="B355" s="29"/>
      <c r="C355" s="32"/>
      <c r="D355" s="31"/>
      <c r="E355" s="32" t="s">
        <v>118</v>
      </c>
      <c r="F355" s="15"/>
    </row>
    <row r="356" s="13" customFormat="1" ht="24" customHeight="1" spans="1:6">
      <c r="A356" s="19">
        <v>582</v>
      </c>
      <c r="B356" s="29"/>
      <c r="C356" s="32"/>
      <c r="D356" s="31"/>
      <c r="E356" s="32" t="s">
        <v>118</v>
      </c>
      <c r="F356" s="15"/>
    </row>
    <row r="357" s="11" customFormat="1" ht="39" customHeight="1" spans="1:6">
      <c r="A357" s="19">
        <v>376</v>
      </c>
      <c r="B357" s="29" t="s">
        <v>71</v>
      </c>
      <c r="C357" s="30"/>
      <c r="D357" s="31"/>
      <c r="E357" s="19" t="s">
        <v>117</v>
      </c>
      <c r="F357" s="15"/>
    </row>
    <row r="358" s="11" customFormat="1" spans="1:6">
      <c r="A358" s="19">
        <v>377</v>
      </c>
      <c r="B358" s="29"/>
      <c r="C358" s="32"/>
      <c r="D358" s="41"/>
      <c r="E358" s="19" t="s">
        <v>117</v>
      </c>
      <c r="F358" s="15"/>
    </row>
    <row r="359" s="15" customFormat="1" ht="29" customHeight="1" spans="1:5">
      <c r="A359" s="19">
        <v>378</v>
      </c>
      <c r="B359" s="29"/>
      <c r="C359" s="32"/>
      <c r="D359" s="41"/>
      <c r="E359" s="19" t="s">
        <v>117</v>
      </c>
    </row>
    <row r="360" s="15" customFormat="1" ht="24" customHeight="1" spans="1:5">
      <c r="A360" s="19">
        <v>379</v>
      </c>
      <c r="B360" s="29"/>
      <c r="C360" s="32"/>
      <c r="D360" s="31"/>
      <c r="E360" s="32" t="s">
        <v>117</v>
      </c>
    </row>
    <row r="361" s="14" customFormat="1" ht="33" customHeight="1" spans="1:6">
      <c r="A361" s="19">
        <v>380</v>
      </c>
      <c r="B361" s="29"/>
      <c r="C361" s="32"/>
      <c r="D361" s="31"/>
      <c r="E361" s="19" t="s">
        <v>117</v>
      </c>
      <c r="F361" s="34"/>
    </row>
    <row r="362" s="15" customFormat="1" ht="36" customHeight="1" spans="1:5">
      <c r="A362" s="19">
        <v>381</v>
      </c>
      <c r="B362" s="29"/>
      <c r="C362" s="32"/>
      <c r="D362" s="31"/>
      <c r="E362" s="32" t="s">
        <v>117</v>
      </c>
    </row>
    <row r="363" s="15" customFormat="1" ht="29" customHeight="1" spans="1:5">
      <c r="A363" s="19">
        <v>583</v>
      </c>
      <c r="B363" s="29"/>
      <c r="C363" s="37"/>
      <c r="D363" s="38"/>
      <c r="E363" s="32" t="s">
        <v>118</v>
      </c>
    </row>
    <row r="364" s="15" customFormat="1" ht="11.25" spans="1:5">
      <c r="A364" s="19">
        <v>584</v>
      </c>
      <c r="B364" s="29"/>
      <c r="C364" s="32"/>
      <c r="D364" s="31"/>
      <c r="E364" s="32" t="s">
        <v>118</v>
      </c>
    </row>
    <row r="365" s="14" customFormat="1" ht="33" customHeight="1" spans="1:6">
      <c r="A365" s="19">
        <v>585</v>
      </c>
      <c r="B365" s="29"/>
      <c r="C365" s="32"/>
      <c r="D365" s="31"/>
      <c r="E365" s="32" t="s">
        <v>118</v>
      </c>
      <c r="F365" s="34"/>
    </row>
    <row r="366" s="15" customFormat="1" ht="11.25" spans="1:5">
      <c r="A366" s="19">
        <v>586</v>
      </c>
      <c r="B366" s="29"/>
      <c r="C366" s="32"/>
      <c r="D366" s="31"/>
      <c r="E366" s="32" t="s">
        <v>118</v>
      </c>
    </row>
    <row r="367" s="15" customFormat="1" ht="29" customHeight="1" spans="1:5">
      <c r="A367" s="19">
        <v>382</v>
      </c>
      <c r="B367" s="29" t="s">
        <v>75</v>
      </c>
      <c r="C367" s="32"/>
      <c r="D367" s="31"/>
      <c r="E367" s="32" t="s">
        <v>117</v>
      </c>
    </row>
    <row r="368" s="15" customFormat="1" ht="11.25" spans="1:5">
      <c r="A368" s="19">
        <v>383</v>
      </c>
      <c r="B368" s="29"/>
      <c r="C368" s="30"/>
      <c r="D368" s="31"/>
      <c r="E368" s="19" t="s">
        <v>117</v>
      </c>
    </row>
    <row r="369" s="13" customFormat="1" ht="12" spans="1:6">
      <c r="A369" s="19">
        <v>385</v>
      </c>
      <c r="B369" s="29"/>
      <c r="C369" s="32"/>
      <c r="D369" s="31"/>
      <c r="E369" s="32" t="s">
        <v>117</v>
      </c>
      <c r="F369" s="15"/>
    </row>
    <row r="370" s="13" customFormat="1" ht="24" customHeight="1" spans="1:6">
      <c r="A370" s="19">
        <v>386</v>
      </c>
      <c r="B370" s="29"/>
      <c r="C370" s="30"/>
      <c r="D370" s="31"/>
      <c r="E370" s="19" t="s">
        <v>117</v>
      </c>
      <c r="F370" s="15"/>
    </row>
    <row r="371" s="13" customFormat="1" ht="24" customHeight="1" spans="1:6">
      <c r="A371" s="19">
        <v>587</v>
      </c>
      <c r="B371" s="29"/>
      <c r="C371" s="32"/>
      <c r="D371" s="31"/>
      <c r="E371" s="32" t="s">
        <v>118</v>
      </c>
      <c r="F371" s="15"/>
    </row>
    <row r="372" s="15" customFormat="1" ht="11.25" spans="1:5">
      <c r="A372" s="19">
        <v>588</v>
      </c>
      <c r="B372" s="29"/>
      <c r="C372" s="32"/>
      <c r="D372" s="31"/>
      <c r="E372" s="32" t="s">
        <v>118</v>
      </c>
    </row>
    <row r="373" s="13" customFormat="1" ht="24" customHeight="1" spans="1:6">
      <c r="A373" s="19">
        <v>589</v>
      </c>
      <c r="B373" s="29"/>
      <c r="C373" s="32"/>
      <c r="D373" s="31"/>
      <c r="E373" s="32" t="s">
        <v>118</v>
      </c>
      <c r="F373" s="15" t="s">
        <v>126</v>
      </c>
    </row>
    <row r="374" s="15" customFormat="1" ht="27" customHeight="1" spans="1:5">
      <c r="A374" s="19">
        <v>590</v>
      </c>
      <c r="B374" s="29"/>
      <c r="C374" s="32"/>
      <c r="D374" s="31"/>
      <c r="E374" s="32" t="s">
        <v>118</v>
      </c>
    </row>
    <row r="375" s="13" customFormat="1" ht="24" customHeight="1" spans="1:6">
      <c r="A375" s="19">
        <v>591</v>
      </c>
      <c r="B375" s="29"/>
      <c r="C375" s="32"/>
      <c r="D375" s="31"/>
      <c r="E375" s="32" t="s">
        <v>118</v>
      </c>
      <c r="F375" s="15"/>
    </row>
    <row r="376" s="13" customFormat="1" ht="24" customHeight="1" spans="1:6">
      <c r="A376" s="19">
        <v>387</v>
      </c>
      <c r="B376" s="29" t="s">
        <v>130</v>
      </c>
      <c r="C376" s="32"/>
      <c r="D376" s="31"/>
      <c r="E376" s="32" t="s">
        <v>117</v>
      </c>
      <c r="F376" s="15"/>
    </row>
    <row r="377" s="11" customFormat="1" spans="1:6">
      <c r="A377" s="19">
        <v>388</v>
      </c>
      <c r="B377" s="29"/>
      <c r="C377" s="32"/>
      <c r="D377" s="31"/>
      <c r="E377" s="32" t="s">
        <v>117</v>
      </c>
      <c r="F377" s="15"/>
    </row>
    <row r="378" s="15" customFormat="1" ht="23" customHeight="1" spans="1:5">
      <c r="A378" s="19">
        <v>592</v>
      </c>
      <c r="B378" s="29"/>
      <c r="C378" s="30"/>
      <c r="D378" s="41"/>
      <c r="E378" s="32" t="s">
        <v>118</v>
      </c>
    </row>
    <row r="379" s="15" customFormat="1" ht="22" customHeight="1" spans="1:5">
      <c r="A379" s="19">
        <v>593</v>
      </c>
      <c r="B379" s="29"/>
      <c r="C379" s="30"/>
      <c r="D379" s="41"/>
      <c r="E379" s="32" t="s">
        <v>118</v>
      </c>
    </row>
    <row r="380" s="13" customFormat="1" ht="24" customHeight="1" spans="1:6">
      <c r="A380" s="19">
        <v>594</v>
      </c>
      <c r="B380" s="29"/>
      <c r="C380" s="30"/>
      <c r="D380" s="31"/>
      <c r="E380" s="32" t="s">
        <v>118</v>
      </c>
      <c r="F380" s="15"/>
    </row>
    <row r="381" s="15" customFormat="1" ht="22" customHeight="1" spans="1:5">
      <c r="A381" s="19">
        <v>595</v>
      </c>
      <c r="B381" s="29"/>
      <c r="C381" s="30"/>
      <c r="D381" s="41"/>
      <c r="E381" s="32" t="s">
        <v>118</v>
      </c>
    </row>
    <row r="382" s="15" customFormat="1" ht="22" customHeight="1" spans="1:5">
      <c r="A382" s="19">
        <v>596</v>
      </c>
      <c r="B382" s="29"/>
      <c r="C382" s="32"/>
      <c r="D382" s="41"/>
      <c r="E382" s="32" t="s">
        <v>118</v>
      </c>
    </row>
    <row r="383" s="15" customFormat="1" ht="22" customHeight="1" spans="1:5">
      <c r="A383" s="19">
        <v>597</v>
      </c>
      <c r="B383" s="29"/>
      <c r="C383" s="30"/>
      <c r="D383" s="41"/>
      <c r="E383" s="32" t="s">
        <v>118</v>
      </c>
    </row>
    <row r="384" s="15" customFormat="1" ht="11.25" spans="1:5">
      <c r="A384" s="19">
        <v>598</v>
      </c>
      <c r="B384" s="29"/>
      <c r="C384" s="32"/>
      <c r="D384" s="31"/>
      <c r="E384" s="32" t="s">
        <v>118</v>
      </c>
    </row>
    <row r="385" s="15" customFormat="1" ht="36" customHeight="1" spans="1:5">
      <c r="A385" s="19">
        <v>599</v>
      </c>
      <c r="B385" s="29"/>
      <c r="C385" s="30"/>
      <c r="D385" s="41"/>
      <c r="E385" s="32" t="s">
        <v>118</v>
      </c>
    </row>
    <row r="386" s="15" customFormat="1" ht="11.25" spans="1:5">
      <c r="A386" s="19">
        <v>600</v>
      </c>
      <c r="B386" s="29"/>
      <c r="C386" s="30"/>
      <c r="D386" s="41"/>
      <c r="E386" s="32" t="s">
        <v>118</v>
      </c>
    </row>
    <row r="387" s="15" customFormat="1" ht="26" customHeight="1" spans="1:5">
      <c r="A387" s="19">
        <v>601</v>
      </c>
      <c r="B387" s="29"/>
      <c r="C387" s="30"/>
      <c r="D387" s="41"/>
      <c r="E387" s="32" t="s">
        <v>118</v>
      </c>
    </row>
    <row r="388" s="15" customFormat="1" ht="39" customHeight="1" spans="1:5">
      <c r="A388" s="19">
        <v>389</v>
      </c>
      <c r="B388" s="29" t="s">
        <v>104</v>
      </c>
      <c r="C388" s="19"/>
      <c r="D388" s="31"/>
      <c r="E388" s="19" t="s">
        <v>117</v>
      </c>
    </row>
    <row r="389" s="15" customFormat="1" ht="25" customHeight="1" spans="1:5">
      <c r="A389" s="19">
        <v>390</v>
      </c>
      <c r="B389" s="29"/>
      <c r="C389" s="30"/>
      <c r="D389" s="31"/>
      <c r="E389" s="19" t="s">
        <v>117</v>
      </c>
    </row>
    <row r="390" s="13" customFormat="1" ht="12" spans="1:6">
      <c r="A390" s="19">
        <v>605</v>
      </c>
      <c r="B390" s="29"/>
      <c r="C390" s="32"/>
      <c r="D390" s="31"/>
      <c r="E390" s="32" t="s">
        <v>118</v>
      </c>
      <c r="F390" s="15"/>
    </row>
    <row r="391" s="15" customFormat="1" ht="25" customHeight="1" spans="1:5">
      <c r="A391" s="19">
        <v>606</v>
      </c>
      <c r="B391" s="29" t="s">
        <v>131</v>
      </c>
      <c r="C391" s="32"/>
      <c r="D391" s="31"/>
      <c r="E391" s="32" t="s">
        <v>118</v>
      </c>
    </row>
    <row r="392" s="14" customFormat="1" ht="33" customHeight="1" spans="1:6">
      <c r="A392" s="19">
        <v>396</v>
      </c>
      <c r="B392" s="35" t="s">
        <v>107</v>
      </c>
      <c r="C392" s="32"/>
      <c r="D392" s="31"/>
      <c r="E392" s="19" t="s">
        <v>117</v>
      </c>
      <c r="F392" s="34"/>
    </row>
    <row r="393" s="13" customFormat="1" ht="12" spans="1:6">
      <c r="A393" s="19">
        <v>397</v>
      </c>
      <c r="B393" s="36"/>
      <c r="C393" s="19"/>
      <c r="D393" s="31"/>
      <c r="E393" s="19" t="s">
        <v>117</v>
      </c>
      <c r="F393" s="15"/>
    </row>
    <row r="394" s="13" customFormat="1" ht="35" customHeight="1" spans="1:6">
      <c r="A394" s="19">
        <v>279</v>
      </c>
      <c r="B394" s="39"/>
      <c r="C394" s="32"/>
      <c r="D394" s="31"/>
      <c r="E394" s="19" t="s">
        <v>117</v>
      </c>
      <c r="F394" s="15"/>
    </row>
    <row r="395" s="14" customFormat="1" ht="23" customHeight="1" spans="1:6">
      <c r="A395" s="19">
        <v>602</v>
      </c>
      <c r="B395" s="29" t="s">
        <v>103</v>
      </c>
      <c r="C395" s="32"/>
      <c r="D395" s="31"/>
      <c r="E395" s="32" t="s">
        <v>118</v>
      </c>
      <c r="F395" s="34"/>
    </row>
    <row r="396" s="14" customFormat="1" ht="25" customHeight="1" spans="1:6">
      <c r="A396" s="19">
        <v>603</v>
      </c>
      <c r="B396" s="29"/>
      <c r="C396" s="32"/>
      <c r="D396" s="31"/>
      <c r="E396" s="32" t="s">
        <v>118</v>
      </c>
      <c r="F396" s="34"/>
    </row>
    <row r="397" s="14" customFormat="1" ht="33" customHeight="1" spans="1:6">
      <c r="A397" s="19">
        <v>604</v>
      </c>
      <c r="B397" s="29"/>
      <c r="C397" s="19"/>
      <c r="D397" s="31"/>
      <c r="E397" s="32" t="s">
        <v>118</v>
      </c>
      <c r="F397" s="34"/>
    </row>
  </sheetData>
  <autoFilter ref="A2:XFD397">
    <extLst/>
  </autoFilter>
  <mergeCells count="50">
    <mergeCell ref="B3:B10"/>
    <mergeCell ref="B11:B17"/>
    <mergeCell ref="B18:B26"/>
    <mergeCell ref="B27:B30"/>
    <mergeCell ref="B31:B39"/>
    <mergeCell ref="B40:B45"/>
    <mergeCell ref="B46:B52"/>
    <mergeCell ref="B53:B54"/>
    <mergeCell ref="B55:B60"/>
    <mergeCell ref="B61:B64"/>
    <mergeCell ref="B65:B68"/>
    <mergeCell ref="B69:B74"/>
    <mergeCell ref="B75:B80"/>
    <mergeCell ref="B81:B83"/>
    <mergeCell ref="B84:B85"/>
    <mergeCell ref="B86:B88"/>
    <mergeCell ref="B89:B95"/>
    <mergeCell ref="B96:B100"/>
    <mergeCell ref="B101:B103"/>
    <mergeCell ref="B104:B121"/>
    <mergeCell ref="B122:B131"/>
    <mergeCell ref="B132:B133"/>
    <mergeCell ref="B134:B140"/>
    <mergeCell ref="B141:B151"/>
    <mergeCell ref="B152:B156"/>
    <mergeCell ref="B157:B164"/>
    <mergeCell ref="B165:B166"/>
    <mergeCell ref="B167:B173"/>
    <mergeCell ref="B174:B178"/>
    <mergeCell ref="B179:B180"/>
    <mergeCell ref="B181:B193"/>
    <mergeCell ref="B194:B204"/>
    <mergeCell ref="B205:B217"/>
    <mergeCell ref="B218:B230"/>
    <mergeCell ref="B231:B243"/>
    <mergeCell ref="B244:B250"/>
    <mergeCell ref="B251:B259"/>
    <mergeCell ref="B260:B268"/>
    <mergeCell ref="B269:B279"/>
    <mergeCell ref="B280:B287"/>
    <mergeCell ref="B288:B314"/>
    <mergeCell ref="B315:B338"/>
    <mergeCell ref="B339:B347"/>
    <mergeCell ref="B348:B356"/>
    <mergeCell ref="B357:B366"/>
    <mergeCell ref="B367:B375"/>
    <mergeCell ref="B376:B387"/>
    <mergeCell ref="B388:B390"/>
    <mergeCell ref="B392:B394"/>
    <mergeCell ref="B395:B397"/>
  </mergeCells>
  <printOptions horizontalCentered="1"/>
  <pageMargins left="0.196527777777778" right="0.196527777777778" top="0.196527777777778" bottom="0.393055555555556" header="0.196527777777778" footer="0.196527777777778"/>
  <pageSetup paperSize="9" fitToHeight="0" orientation="landscape" horizontalDpi="600"/>
  <headerFooter alignWithMargins="0">
    <oddFooter>&amp;C第 &amp;P 页，共 &amp;N 页</oddFooter>
  </headerFooter>
  <rowBreaks count="2" manualBreakCount="2">
    <brk id="60" max="5" man="1"/>
    <brk id="39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60"/>
  <sheetViews>
    <sheetView view="pageBreakPreview" zoomScale="160" zoomScaleNormal="140" topLeftCell="A10" workbookViewId="0">
      <selection activeCell="A13" sqref="$A13:$XFD13"/>
    </sheetView>
  </sheetViews>
  <sheetFormatPr defaultColWidth="9" defaultRowHeight="14.25" outlineLevelCol="4"/>
  <cols>
    <col min="1" max="1" width="5.85833333333333" style="2" customWidth="1"/>
    <col min="2" max="2" width="39.85" style="3" customWidth="1"/>
    <col min="3" max="3" width="5.85833333333333" style="2" customWidth="1"/>
    <col min="4" max="4" width="9" style="4"/>
    <col min="5" max="5" width="17.2083333333333" style="4" customWidth="1"/>
    <col min="6" max="16384" width="9" style="4"/>
  </cols>
  <sheetData>
    <row r="1" s="1" customFormat="1" ht="20" customHeight="1" spans="1:3">
      <c r="A1" s="5" t="s">
        <v>1</v>
      </c>
      <c r="B1" s="5" t="s">
        <v>132</v>
      </c>
      <c r="C1" s="5" t="s">
        <v>1</v>
      </c>
    </row>
    <row r="2" s="1" customFormat="1" ht="20" customHeight="1" spans="1:5">
      <c r="A2" s="6" t="s">
        <v>40</v>
      </c>
      <c r="B2" s="7" t="s">
        <v>133</v>
      </c>
      <c r="C2" s="6" t="s">
        <v>40</v>
      </c>
      <c r="E2" s="8" t="s">
        <v>134</v>
      </c>
    </row>
    <row r="3" s="1" customFormat="1" ht="20" customHeight="1" spans="1:5">
      <c r="A3" s="6" t="s">
        <v>42</v>
      </c>
      <c r="B3" s="7" t="s">
        <v>135</v>
      </c>
      <c r="C3" s="6" t="s">
        <v>42</v>
      </c>
      <c r="E3" s="8" t="s">
        <v>136</v>
      </c>
    </row>
    <row r="4" s="1" customFormat="1" ht="20" customHeight="1" spans="1:5">
      <c r="A4" s="6">
        <v>1</v>
      </c>
      <c r="B4" s="7" t="s">
        <v>43</v>
      </c>
      <c r="C4" s="6">
        <v>1</v>
      </c>
      <c r="E4" s="8" t="s">
        <v>137</v>
      </c>
    </row>
    <row r="5" s="1" customFormat="1" ht="20" customHeight="1" spans="1:5">
      <c r="A5" s="6">
        <v>2</v>
      </c>
      <c r="B5" s="7" t="s">
        <v>119</v>
      </c>
      <c r="C5" s="6">
        <v>2</v>
      </c>
      <c r="E5" s="8" t="s">
        <v>138</v>
      </c>
    </row>
    <row r="6" s="1" customFormat="1" ht="20" customHeight="1" spans="1:5">
      <c r="A6" s="6">
        <v>3</v>
      </c>
      <c r="B6" s="7" t="s">
        <v>52</v>
      </c>
      <c r="C6" s="6">
        <v>3</v>
      </c>
      <c r="E6" s="8" t="s">
        <v>139</v>
      </c>
    </row>
    <row r="7" s="1" customFormat="1" ht="20" customHeight="1" spans="1:5">
      <c r="A7" s="6">
        <v>4</v>
      </c>
      <c r="B7" s="7" t="s">
        <v>121</v>
      </c>
      <c r="C7" s="6">
        <v>4</v>
      </c>
      <c r="E7" s="8" t="s">
        <v>140</v>
      </c>
    </row>
    <row r="8" s="1" customFormat="1" ht="20" customHeight="1" spans="1:3">
      <c r="A8" s="6">
        <v>5</v>
      </c>
      <c r="B8" s="7" t="s">
        <v>50</v>
      </c>
      <c r="C8" s="6">
        <v>5</v>
      </c>
    </row>
    <row r="9" s="1" customFormat="1" ht="20" customHeight="1" spans="1:3">
      <c r="A9" s="6">
        <v>6</v>
      </c>
      <c r="B9" s="7" t="s">
        <v>47</v>
      </c>
      <c r="C9" s="6">
        <v>6</v>
      </c>
    </row>
    <row r="10" s="1" customFormat="1" ht="20" customHeight="1" spans="1:5">
      <c r="A10" s="6">
        <v>7</v>
      </c>
      <c r="B10" s="7" t="s">
        <v>122</v>
      </c>
      <c r="C10" s="6">
        <v>7</v>
      </c>
      <c r="E10" s="8"/>
    </row>
    <row r="11" s="1" customFormat="1" ht="20" customHeight="1" spans="1:3">
      <c r="A11" s="6">
        <v>8</v>
      </c>
      <c r="B11" s="7" t="s">
        <v>54</v>
      </c>
      <c r="C11" s="6">
        <v>8</v>
      </c>
    </row>
    <row r="12" s="1" customFormat="1" ht="20" customHeight="1" spans="1:3">
      <c r="A12" s="6">
        <v>9</v>
      </c>
      <c r="B12" s="7" t="s">
        <v>53</v>
      </c>
      <c r="C12" s="6">
        <v>9</v>
      </c>
    </row>
    <row r="13" s="1" customFormat="1" ht="20" customHeight="1" spans="1:3">
      <c r="A13" s="6">
        <v>10</v>
      </c>
      <c r="B13" s="7" t="s">
        <v>48</v>
      </c>
      <c r="C13" s="6">
        <v>10</v>
      </c>
    </row>
    <row r="14" s="1" customFormat="1" ht="20" customHeight="1" spans="1:3">
      <c r="A14" s="6">
        <v>11</v>
      </c>
      <c r="B14" s="7" t="s">
        <v>124</v>
      </c>
      <c r="C14" s="6">
        <v>11</v>
      </c>
    </row>
    <row r="15" s="1" customFormat="1" ht="20" customHeight="1" spans="1:3">
      <c r="A15" s="6">
        <v>12</v>
      </c>
      <c r="B15" s="7" t="s">
        <v>62</v>
      </c>
      <c r="C15" s="6">
        <v>12</v>
      </c>
    </row>
    <row r="16" s="1" customFormat="1" ht="20" customHeight="1" spans="1:3">
      <c r="A16" s="6">
        <v>13</v>
      </c>
      <c r="B16" s="7" t="s">
        <v>55</v>
      </c>
      <c r="C16" s="6">
        <v>13</v>
      </c>
    </row>
    <row r="17" s="1" customFormat="1" ht="20" customHeight="1" spans="1:3">
      <c r="A17" s="6">
        <v>14</v>
      </c>
      <c r="B17" s="7" t="s">
        <v>45</v>
      </c>
      <c r="C17" s="6">
        <v>14</v>
      </c>
    </row>
    <row r="18" s="1" customFormat="1" ht="20" customHeight="1" spans="1:3">
      <c r="A18" s="6">
        <v>15</v>
      </c>
      <c r="B18" s="7" t="s">
        <v>57</v>
      </c>
      <c r="C18" s="6">
        <v>15</v>
      </c>
    </row>
    <row r="19" s="1" customFormat="1" ht="20" customHeight="1" spans="1:3">
      <c r="A19" s="6">
        <v>16</v>
      </c>
      <c r="B19" s="7" t="s">
        <v>127</v>
      </c>
      <c r="C19" s="6">
        <v>16</v>
      </c>
    </row>
    <row r="20" s="1" customFormat="1" ht="20" customHeight="1" spans="1:3">
      <c r="A20" s="6">
        <v>17</v>
      </c>
      <c r="B20" s="7" t="s">
        <v>44</v>
      </c>
      <c r="C20" s="6">
        <v>17</v>
      </c>
    </row>
    <row r="21" s="1" customFormat="1" ht="20" customHeight="1" spans="1:3">
      <c r="A21" s="6">
        <v>18</v>
      </c>
      <c r="B21" s="7" t="s">
        <v>81</v>
      </c>
      <c r="C21" s="6">
        <v>18</v>
      </c>
    </row>
    <row r="22" s="1" customFormat="1" ht="20" customHeight="1" spans="1:3">
      <c r="A22" s="6">
        <v>19</v>
      </c>
      <c r="B22" s="7" t="s">
        <v>87</v>
      </c>
      <c r="C22" s="6">
        <v>19</v>
      </c>
    </row>
    <row r="23" s="1" customFormat="1" ht="20" customHeight="1" spans="1:3">
      <c r="A23" s="6">
        <v>20</v>
      </c>
      <c r="B23" s="7" t="s">
        <v>95</v>
      </c>
      <c r="C23" s="6">
        <v>20</v>
      </c>
    </row>
    <row r="24" s="1" customFormat="1" ht="20" customHeight="1" spans="1:3">
      <c r="A24" s="6">
        <v>21</v>
      </c>
      <c r="B24" s="7" t="s">
        <v>96</v>
      </c>
      <c r="C24" s="6">
        <v>21</v>
      </c>
    </row>
    <row r="25" s="1" customFormat="1" ht="20" customHeight="1" spans="1:3">
      <c r="A25" s="6">
        <v>22</v>
      </c>
      <c r="B25" s="7" t="s">
        <v>98</v>
      </c>
      <c r="C25" s="6">
        <v>22</v>
      </c>
    </row>
    <row r="26" s="1" customFormat="1" ht="20" customHeight="1" spans="1:3">
      <c r="A26" s="6">
        <v>23</v>
      </c>
      <c r="B26" s="7" t="s">
        <v>88</v>
      </c>
      <c r="C26" s="6">
        <v>23</v>
      </c>
    </row>
    <row r="27" s="1" customFormat="1" ht="20" customHeight="1" spans="1:3">
      <c r="A27" s="6">
        <v>24</v>
      </c>
      <c r="B27" s="7" t="s">
        <v>86</v>
      </c>
      <c r="C27" s="6">
        <v>24</v>
      </c>
    </row>
    <row r="28" s="1" customFormat="1" ht="20" customHeight="1" spans="1:3">
      <c r="A28" s="6">
        <v>25</v>
      </c>
      <c r="B28" s="7" t="s">
        <v>92</v>
      </c>
      <c r="C28" s="6">
        <v>25</v>
      </c>
    </row>
    <row r="29" s="1" customFormat="1" ht="20" customHeight="1" spans="1:3">
      <c r="A29" s="6">
        <v>26</v>
      </c>
      <c r="B29" s="7" t="s">
        <v>93</v>
      </c>
      <c r="C29" s="6">
        <v>26</v>
      </c>
    </row>
    <row r="30" s="1" customFormat="1" ht="20" customHeight="1" spans="1:3">
      <c r="A30" s="6">
        <v>27</v>
      </c>
      <c r="B30" s="7" t="s">
        <v>129</v>
      </c>
      <c r="C30" s="6">
        <v>27</v>
      </c>
    </row>
    <row r="31" s="1" customFormat="1" ht="18" customHeight="1" spans="1:3">
      <c r="A31" s="6">
        <v>28</v>
      </c>
      <c r="B31" s="7" t="s">
        <v>97</v>
      </c>
      <c r="C31" s="6">
        <v>28</v>
      </c>
    </row>
    <row r="32" s="1" customFormat="1" ht="20" customHeight="1" spans="1:3">
      <c r="A32" s="6">
        <v>29</v>
      </c>
      <c r="B32" s="9" t="s">
        <v>141</v>
      </c>
      <c r="C32" s="6">
        <v>29</v>
      </c>
    </row>
    <row r="33" s="1" customFormat="1" ht="20" customHeight="1" spans="1:3">
      <c r="A33" s="6">
        <v>30</v>
      </c>
      <c r="B33" s="9" t="s">
        <v>91</v>
      </c>
      <c r="C33" s="6">
        <v>30</v>
      </c>
    </row>
    <row r="34" s="1" customFormat="1" ht="20" customHeight="1" spans="1:3">
      <c r="A34" s="6">
        <v>31</v>
      </c>
      <c r="B34" s="7" t="s">
        <v>89</v>
      </c>
      <c r="C34" s="6">
        <v>31</v>
      </c>
    </row>
    <row r="35" s="1" customFormat="1" ht="20" customHeight="1" spans="1:3">
      <c r="A35" s="6">
        <v>32</v>
      </c>
      <c r="B35" s="7" t="s">
        <v>80</v>
      </c>
      <c r="C35" s="6">
        <v>32</v>
      </c>
    </row>
    <row r="36" s="1" customFormat="1" ht="20" customHeight="1" spans="1:3">
      <c r="A36" s="6">
        <v>33</v>
      </c>
      <c r="B36" s="7" t="s">
        <v>83</v>
      </c>
      <c r="C36" s="6">
        <v>33</v>
      </c>
    </row>
    <row r="37" s="1" customFormat="1" ht="20" customHeight="1" spans="1:3">
      <c r="A37" s="6">
        <v>34</v>
      </c>
      <c r="B37" s="7" t="s">
        <v>79</v>
      </c>
      <c r="C37" s="6">
        <v>34</v>
      </c>
    </row>
    <row r="38" s="1" customFormat="1" ht="20" customHeight="1" spans="1:3">
      <c r="A38" s="6">
        <v>35</v>
      </c>
      <c r="B38" s="7" t="s">
        <v>94</v>
      </c>
      <c r="C38" s="6">
        <v>35</v>
      </c>
    </row>
    <row r="39" s="1" customFormat="1" ht="20" customHeight="1" spans="1:3">
      <c r="A39" s="6">
        <v>36</v>
      </c>
      <c r="B39" s="7" t="s">
        <v>84</v>
      </c>
      <c r="C39" s="6">
        <v>36</v>
      </c>
    </row>
    <row r="40" s="1" customFormat="1" ht="20" customHeight="1" spans="1:3">
      <c r="A40" s="6">
        <v>37</v>
      </c>
      <c r="B40" s="7" t="s">
        <v>70</v>
      </c>
      <c r="C40" s="6">
        <v>37</v>
      </c>
    </row>
    <row r="41" s="1" customFormat="1" ht="20" customHeight="1" spans="1:3">
      <c r="A41" s="6">
        <v>38</v>
      </c>
      <c r="B41" s="7" t="s">
        <v>68</v>
      </c>
      <c r="C41" s="6">
        <v>38</v>
      </c>
    </row>
    <row r="42" s="1" customFormat="1" ht="20" customHeight="1" spans="1:3">
      <c r="A42" s="6">
        <v>39</v>
      </c>
      <c r="B42" s="7" t="s">
        <v>72</v>
      </c>
      <c r="C42" s="6">
        <v>39</v>
      </c>
    </row>
    <row r="43" s="1" customFormat="1" ht="20" customHeight="1" spans="1:3">
      <c r="A43" s="6">
        <v>40</v>
      </c>
      <c r="B43" s="7" t="s">
        <v>77</v>
      </c>
      <c r="C43" s="6">
        <v>40</v>
      </c>
    </row>
    <row r="44" s="1" customFormat="1" ht="20" customHeight="1" spans="1:3">
      <c r="A44" s="6">
        <v>41</v>
      </c>
      <c r="B44" s="9" t="s">
        <v>66</v>
      </c>
      <c r="C44" s="6">
        <v>41</v>
      </c>
    </row>
    <row r="45" s="1" customFormat="1" ht="20" customHeight="1" spans="1:3">
      <c r="A45" s="6">
        <v>42</v>
      </c>
      <c r="B45" s="9" t="s">
        <v>64</v>
      </c>
      <c r="C45" s="6">
        <v>42</v>
      </c>
    </row>
    <row r="46" s="1" customFormat="1" ht="20" customHeight="1" spans="1:3">
      <c r="A46" s="6">
        <v>43</v>
      </c>
      <c r="B46" s="7" t="s">
        <v>74</v>
      </c>
      <c r="C46" s="6">
        <v>43</v>
      </c>
    </row>
    <row r="47" s="1" customFormat="1" ht="20" customHeight="1" spans="1:3">
      <c r="A47" s="6">
        <v>44</v>
      </c>
      <c r="B47" s="7" t="s">
        <v>69</v>
      </c>
      <c r="C47" s="6">
        <v>44</v>
      </c>
    </row>
    <row r="48" s="1" customFormat="1" ht="20" customHeight="1" spans="1:3">
      <c r="A48" s="6">
        <v>45</v>
      </c>
      <c r="B48" s="7" t="s">
        <v>71</v>
      </c>
      <c r="C48" s="6">
        <v>45</v>
      </c>
    </row>
    <row r="49" s="1" customFormat="1" ht="20" customHeight="1" spans="1:3">
      <c r="A49" s="6">
        <v>46</v>
      </c>
      <c r="B49" s="7" t="s">
        <v>75</v>
      </c>
      <c r="C49" s="6">
        <v>46</v>
      </c>
    </row>
    <row r="50" s="1" customFormat="1" ht="20" customHeight="1" spans="1:3">
      <c r="A50" s="6">
        <v>47</v>
      </c>
      <c r="B50" s="7" t="s">
        <v>130</v>
      </c>
      <c r="C50" s="6">
        <v>47</v>
      </c>
    </row>
    <row r="51" s="1" customFormat="1" ht="20" customHeight="1" spans="1:3">
      <c r="A51" s="6">
        <v>48</v>
      </c>
      <c r="B51" s="7" t="s">
        <v>142</v>
      </c>
      <c r="C51" s="6">
        <v>48</v>
      </c>
    </row>
    <row r="52" s="1" customFormat="1" ht="20" customHeight="1" spans="1:3">
      <c r="A52" s="6">
        <v>49</v>
      </c>
      <c r="B52" s="7" t="s">
        <v>143</v>
      </c>
      <c r="C52" s="6">
        <v>49</v>
      </c>
    </row>
    <row r="53" s="1" customFormat="1" ht="20" customHeight="1" spans="1:3">
      <c r="A53" s="6">
        <v>50</v>
      </c>
      <c r="B53" s="7" t="s">
        <v>144</v>
      </c>
      <c r="C53" s="6">
        <v>50</v>
      </c>
    </row>
    <row r="54" s="1" customFormat="1" ht="20" customHeight="1" spans="1:3">
      <c r="A54" s="6">
        <v>51</v>
      </c>
      <c r="B54" s="7" t="s">
        <v>145</v>
      </c>
      <c r="C54" s="6">
        <v>51</v>
      </c>
    </row>
    <row r="55" s="1" customFormat="1" ht="20" customHeight="1" spans="1:3">
      <c r="A55" s="6">
        <v>52</v>
      </c>
      <c r="B55" s="10" t="s">
        <v>146</v>
      </c>
      <c r="C55" s="6">
        <v>52</v>
      </c>
    </row>
    <row r="56" s="1" customFormat="1" ht="20" customHeight="1" spans="1:3">
      <c r="A56" s="6">
        <v>53</v>
      </c>
      <c r="B56" s="7" t="s">
        <v>147</v>
      </c>
      <c r="C56" s="6">
        <v>53</v>
      </c>
    </row>
    <row r="57" s="1" customFormat="1" ht="20" customHeight="1" spans="1:3">
      <c r="A57" s="6">
        <v>54</v>
      </c>
      <c r="B57" s="7" t="s">
        <v>148</v>
      </c>
      <c r="C57" s="6">
        <v>54</v>
      </c>
    </row>
    <row r="58" s="1" customFormat="1" ht="20" customHeight="1" spans="1:3">
      <c r="A58" s="6">
        <v>55</v>
      </c>
      <c r="B58" s="7" t="s">
        <v>149</v>
      </c>
      <c r="C58" s="6">
        <v>55</v>
      </c>
    </row>
    <row r="59" s="1" customFormat="1" ht="20" customHeight="1" spans="1:3">
      <c r="A59" s="6">
        <v>56</v>
      </c>
      <c r="B59" s="7" t="s">
        <v>150</v>
      </c>
      <c r="C59" s="6">
        <v>56</v>
      </c>
    </row>
    <row r="60" s="1" customFormat="1" ht="20" customHeight="1" spans="1:3">
      <c r="A60" s="6">
        <v>57</v>
      </c>
      <c r="B60" s="7" t="s">
        <v>151</v>
      </c>
      <c r="C60" s="6">
        <v>57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geph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结果汇总表</vt:lpstr>
      <vt:lpstr>2025年度</vt:lpstr>
      <vt:lpstr>单位排序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深圳供电局有限公司干部名册(按级别)</dc:title>
  <dc:creator>史彦青</dc:creator>
  <cp:lastModifiedBy>曾佳兴</cp:lastModifiedBy>
  <dcterms:created xsi:type="dcterms:W3CDTF">2003-09-05T00:03:00Z</dcterms:created>
  <cp:lastPrinted>2017-09-19T08:43:00Z</cp:lastPrinted>
  <dcterms:modified xsi:type="dcterms:W3CDTF">2026-03-25T02:52:05Z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KSOReadingLayout">
    <vt:bool>true</vt:bool>
  </property>
  <property fmtid="{D5CDD505-2E9C-101B-9397-08002B2CF9AE}" pid="4" name="ICV">
    <vt:lpwstr>E444384B36DF4108A121441879D46029</vt:lpwstr>
  </property>
  <property fmtid="{D5CDD505-2E9C-101B-9397-08002B2CF9AE}" pid="5" name="CalculationRule">
    <vt:i4>0</vt:i4>
  </property>
</Properties>
</file>